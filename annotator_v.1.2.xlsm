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현재_통합_문서"/>
  <mc:AlternateContent xmlns:mc="http://schemas.openxmlformats.org/markup-compatibility/2006">
    <mc:Choice Requires="x15">
      <x15ac:absPath xmlns:x15ac="http://schemas.microsoft.com/office/spreadsheetml/2010/11/ac" url="C:\Users\user\Desktop\"/>
    </mc:Choice>
  </mc:AlternateContent>
  <xr:revisionPtr revIDLastSave="0" documentId="13_ncr:1_{3367611E-5872-4775-BD0D-7DC062580D1F}" xr6:coauthVersionLast="47" xr6:coauthVersionMax="47" xr10:uidLastSave="{00000000-0000-0000-0000-000000000000}"/>
  <bookViews>
    <workbookView xWindow="-108" yWindow="-108" windowWidth="22320" windowHeight="13176" activeTab="1" xr2:uid="{00000000-000D-0000-FFFF-FFFF00000000}"/>
  </bookViews>
  <sheets>
    <sheet name="DataBase" sheetId="2" r:id="rId1"/>
    <sheet name="Sheet3" sheetId="3"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0" i="3" l="1"/>
  <c r="T19" i="3"/>
  <c r="U3" i="3"/>
  <c r="T18" i="3"/>
  <c r="T3" i="3"/>
  <c r="P20" i="3"/>
  <c r="P19" i="3"/>
  <c r="P18" i="3"/>
  <c r="C23" i="3"/>
  <c r="C22" i="3"/>
  <c r="L3" i="3" a="1"/>
  <c r="P2" i="3"/>
  <c r="R3" i="3"/>
  <c r="P1" i="3"/>
  <c r="P3" i="3"/>
  <c r="T4" i="3" a="1"/>
  <c r="L3" i="3" l="1"/>
  <c r="C12" i="3"/>
  <c r="T4" i="3"/>
  <c r="P4" i="3" a="1"/>
  <c r="R1" i="3" a="1"/>
  <c r="R4" i="3" a="1"/>
  <c r="R4" i="3" l="1"/>
  <c r="R16" i="3" s="1"/>
  <c r="P4" i="3"/>
  <c r="P16" i="3" s="1"/>
  <c r="R1" i="3"/>
  <c r="R6" i="3" l="1"/>
  <c r="R7" i="3" s="1"/>
  <c r="R8" i="3" s="1"/>
  <c r="P13" i="3"/>
  <c r="R13" i="3"/>
  <c r="P10" i="3"/>
  <c r="P14" i="3" s="1"/>
  <c r="P9" i="3"/>
  <c r="R9" i="3"/>
  <c r="R10" i="3"/>
  <c r="R14" i="3" s="1"/>
  <c r="P6" i="3"/>
  <c r="P7" i="3" s="1"/>
  <c r="P8" i="3" s="1"/>
  <c r="P15" i="3" l="1"/>
  <c r="R11" i="3"/>
  <c r="R12" i="3" s="1"/>
  <c r="R15" i="3"/>
  <c r="P11" i="3"/>
  <c r="P1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<sst xmlns="http://schemas.openxmlformats.org/spreadsheetml/2006/main" count="5737" uniqueCount="3865">
  <si>
    <t>id</t>
  </si>
  <si>
    <t>sentence</t>
  </si>
  <si>
    <t>subject_entity</t>
  </si>
  <si>
    <t>object_entity</t>
  </si>
  <si>
    <t>#기관총과 같은 중화기의 경우 다수의 적을 한꺼번에 무력화시키거나 아군이 이동할 때 탄막을 형성하여 보호하는 등 사용상에서는 정밀 조준을 요하지 않는다.그러므로 소화기처럼 정밀하게 조준하지 않고, 대략의 탄착점을 형성한 후 짧은 시간에 그 위치에 매우 많은 탄환을 발사하는 식으로 정밀 조준이 되지 않는 단점을 보완한다.</t>
  </si>
  <si>
    <t>사이클로크로스 경로에는 도로, 들판, 숲길과 목초지를 번갈아 넣어 선수에게 지루함을 주지않고, 체력을 회복할 수 있도록 한다.</t>
  </si>
  <si>
    <t>{'word': '목초지', 'start_idx': 25, 'end_idx': 27, 'type': 'LOC'}</t>
  </si>
  <si>
    <t>{'word': '선수', 'start_idx': 37, 'end_idx': 38, 'type': 'PER'}</t>
  </si>
  <si>
    <t># 아이스하키 국제 대회로는 세계선수권대회, 유럽선수권대회, 동계 올림픽이 있다.세계선수권대회는 1924년 프랑스 샤모니에서 제 2 회 대회가 개최되었으며 캐나다가 우승하였다.</t>
  </si>
  <si>
    <t>{'word': '세계선수권대회', 'start_idx': 45, 'end_idx': 51, 'type': 'POH'}</t>
  </si>
  <si>
    <t>{'word': '캐나다', 'start_idx': 87, 'end_idx': 89, 'type': 'LOC'}</t>
  </si>
  <si>
    <t>프로 아이스하키는 1917년 미국과 캐나다에서 내셔널 하키 리그(NHL)가 출범하면서 시작되었다.</t>
  </si>
  <si>
    <t>{'word': '프로 아이스하키', 'start_idx': 0, 'end_idx': 7, 'type': 'SPR'}</t>
  </si>
  <si>
    <t>{'word': '캐나다', 'start_idx': 20, 'end_idx': 22, 'type': 'LOC'}</t>
  </si>
  <si>
    <t>쇼트트랙의 스케이트화는 날이 왼쪽으로 치우쳐 있다.</t>
  </si>
  <si>
    <t>{'word': '쇼트트랙', 'start_idx': 0, 'end_idx': 3, 'type': 'SPR'}</t>
  </si>
  <si>
    <t>{'word': '스케이트화', 'start_idx': 6, 'end_idx': 10, 'type': 'EQP'}</t>
  </si>
  <si>
    <t>노르딕 경기에는 크로스컨트리 경기·점프 경기·노르딕 복합경기가 있다.</t>
  </si>
  <si>
    <t>{'word': '노르딕 경기', 'start_idx': 0, 'end_idx': 5, 'type': 'SPR'}</t>
  </si>
  <si>
    <t>{'word': '점프 경기', 'start_idx': 19, 'end_idx': 23, 'type': 'SPR'}</t>
  </si>
  <si>
    <t>회전 경기는 짧고 급격한 턴을 요구하는 코스로 구성되며, 대회전 경기의 코스는 그보다 더 넓은 회전 폭을 갖는 코스로 구성된다.</t>
  </si>
  <si>
    <t>{'word': '회전 경기', 'start_idx': 0, 'end_idx': 4, 'type': 'SPR'}</t>
  </si>
  <si>
    <t>{'word': '대회전 경기', 'start_idx': 32, 'end_idx': 37, 'type': 'SPR'}</t>
  </si>
  <si>
    <t>이 규칙에 의하면 경기 인원은 팀당 9명이었으며 종래의 사각 평면반(平面盤) 퍽 대신 원형 러버퍽이 사용되었다. 그 후에도 규칙의 연구 및 합리화가 계속되었으며, 팀의 구성은 7명이 되었다가 이윽고 오늘날과 같이 6명이 되었다.</t>
  </si>
  <si>
    <t>{'word': '원형 러버퍽', 'start_idx': 48, 'end_idx': 53, 'type': 'POH'}</t>
  </si>
  <si>
    <t>{'word': '사각 평면반(平面盤) 퍽', 'start_idx': 31, 'end_idx': 43, 'type': 'POH'}</t>
  </si>
  <si>
    <t>{'word': '스키', 'start_idx': 0, 'end_idx': 1, 'type': 'SPR'}</t>
  </si>
  <si>
    <t>{'word': '점핑 스키', 'start_idx': 92, 'end_idx': 96, 'type': 'SPR'}</t>
  </si>
  <si>
    <t>스키는 또한 신경지배가 개선되며 반응시간이 빨라진다고 한다.</t>
  </si>
  <si>
    <t>{'word': '신경지배', 'start_idx': 7, 'end_idx': 10, 'type': 'POH'}</t>
  </si>
  <si>
    <t># 오늘날 알파인 스키는 대부분 리프트 시설을 갖춘 스키장에서 행해진다. 이러한 시설에서는 설질이 특별히 관리되고 눈사태 예방을 위한 조치들이 취해지며 코스를 만들기 위해 나무가 베어진다.</t>
  </si>
  <si>
    <t>{'word': '알파인 스키', 'start_idx': 6, 'end_idx': 11, 'type': 'SPR'}</t>
  </si>
  <si>
    <t>{'word': '스키장', 'start_idx': 29, 'end_idx': 31, 'type': 'LOC'}</t>
  </si>
  <si>
    <t>조선시대에는 기산의 풍속도와 같은 씨름에 관한 그림도 많다.</t>
  </si>
  <si>
    <t>{'word': '조선시대', 'start_idx': 0, 'end_idx': 3, 'type': 'DAT'}</t>
  </si>
  <si>
    <t>{'word': '풍속도', 'start_idx': 11, 'end_idx': 13, 'type': 'POH'}</t>
  </si>
  <si>
    <t>주요 씨름 선수 인물에는 이만기, 강호동, 이준희, 이봉걸, 최홍만, 박정우, 손희찬, 허선행, 노범수, 임태혁, 이승호 등이 있다.</t>
  </si>
  <si>
    <t>{'word': '씨름', 'start_idx': 3, 'end_idx': 4, 'type': 'SPR'}</t>
  </si>
  <si>
    <t>{'word': '최홍만', 'start_idx': 34, 'end_idx': 36, 'type': 'PER'}</t>
  </si>
  <si>
    <t>따라서 소화기와 같은 방법으로 사격할 수는 없고, 각종 관측장비의 도움을 필요로 하게 된다.</t>
  </si>
  <si>
    <t>{'word': '소화기', 'start_idx': 4, 'end_idx': 6, 'type': 'EQP'}</t>
  </si>
  <si>
    <t>{'word': '각종 관측장비', 'start_idx': 28, 'end_idx': 34, 'type': 'EQP'}</t>
  </si>
  <si>
    <t>각 콘퍼런스에서 우승한 2팀은 챔피언결정전인 스탠리컵에서 7전 4선승제로 우승 팀을 결정한다. 2020년 기준으로 캐나다팀인 카나디앵 드 몽레알가 가장 많은 24회의 우승을 차지하였다.</t>
  </si>
  <si>
    <t>{'word': '스탠리컵', 'start_idx': 25, 'end_idx': 28, 'type': 'POH'}</t>
  </si>
  <si>
    <t>{'word': '카나디앵 드 몽레알', 'start_idx': 70, 'end_idx': 79, 'type': 'ORG'}</t>
  </si>
  <si>
    <t>한국민속씨름 협회가 사용하는 ‘지역’, ‘한라’, ‘백두’, ‘단체’이라는 체급명칭은 한국민속씨름 협회가 프로씨름대회와 출범을 앞둔 1985년 12월 19일부터 31일까지 신문과 방송 광고를 통해 전국민을 대상으로 체급명칭을 공모하여 전국 각지에서 응모한 수백통과 응모작 중에 강남구 삼성동에 거주하는 ‘오제하’씨가 응모한 ‘지역장사’, ‘한라장사’, ‘백두장사’, ‘단체전’ 라는 명칭을 당선작(당선상금 100만원)으로 선정하여 사용되기 시작한 명칭이다.</t>
  </si>
  <si>
    <t>{'word': '오제하', 'start_idx': 170, 'end_idx': 172, 'type': 'PER'}</t>
  </si>
  <si>
    <t>{'word': '한국민속씨름 협회', 'start_idx': 48, 'end_idx': 56, 'type': 'ORG'}</t>
  </si>
  <si>
    <t>바이애슬론 경기는 크로스컨트리 경기를 하면서(10-20km코스) 곳곳에 설치된 목표물을 선 자세와 엎드린 자세로 총을 쏘아 맞히는 경기다.</t>
  </si>
  <si>
    <t>{'word': '바이애슬론 경기', 'start_idx': 0, 'end_idx': 7, 'type': 'SPR'}</t>
  </si>
  <si>
    <t>{'word': '크로스컨트리', 'start_idx': 10, 'end_idx': 15, 'type': 'SPR'}</t>
  </si>
  <si>
    <t>아이스하키(Ice hockey, 문화어: 빙상호케이)는 구기 종목 중 하나이다.</t>
  </si>
  <si>
    <t>{'word': '아이스하키', 'start_idx': 0, 'end_idx': 4, 'type': 'SPR'}</t>
  </si>
  <si>
    <t>{'word': 'Ice hockey', 'start_idx': 6, 'end_idx': 15, 'type': 'SPR'}</t>
  </si>
  <si>
    <t>서부 컨퍼런스는 센트럴 디비전(Central Division)에 시카고 블랙호크스, 콜로라도 애벌란치, 댈러스 스타스, 미네소타 와일드, 내슈빌 프레더터스, 세인트루이스 블루스, 위니펙 제츠; 퍼시픽 디비전(Pacific Division)에 애너하임 덕스, 애리조나 카이오츠, 캘거리 플레임스, 에드몬턴 오일러스, 로스앤젤레스 킹스, 산호세 샤크스가, 밴쿠버 커낙스, 베이거스 골든 나이츠가 속해 있다.</t>
  </si>
  <si>
    <t>{'word': '서부 컨퍼런스', 'start_idx': 0, 'end_idx': 6, 'type': 'ORG'}</t>
  </si>
  <si>
    <t>{'word': '세인트루이스 블루스', 'start_idx': 88, 'end_idx': 97, 'type': 'ORG'}</t>
  </si>
  <si>
    <t>용상에서는 양팔과 양다리를 편 채로 양발을 동일선상으로 복귀시키고 바벨을 내려놓으라는 심판의 신호를 기다린다.</t>
  </si>
  <si>
    <t>{'word': '용상', 'start_idx': 0, 'end_idx': 1, 'type': 'SPR'}</t>
  </si>
  <si>
    <t>{'word': '바벨', 'start_idx': 37, 'end_idx': 38, 'type': 'EQP'}</t>
  </si>
  <si>
    <t>122년 조선민속씨름 협회클럽클럽으로 변경하는 1940년부터 중단되었던 전조선씨름선수권대회를 1945년부터 재개하였으며 대통령기 대회(1964년 신설)와 회장기대회(1971년 신설), 증평인삼배대회(2000년 신설), 학산김성률배대회(2004년 신설) 등과 대회를 개최하며 지금까지 이어오고 있다.</t>
  </si>
  <si>
    <t>{'word': '조선민속씨름 협회클럽', 'start_idx': 5, 'end_idx': 15, 'type': 'ORG'}</t>
  </si>
  <si>
    <t>{'word': '증평인삼배대회', 'start_idx': 103, 'end_idx': 109, 'type': 'POH'}</t>
  </si>
  <si>
    <t># 각 선수는 각자 경쟁하여야 한다. 다른 선수에게 어떤 도움을 주는 것을 어시스턴스라고 불리며, 해당 선수/계주 팀들은 모두 실격된다.</t>
  </si>
  <si>
    <t>{'word': '다른 선수에게 어떤 도움을 주는 것', 'start_idx': 21, 'end_idx': 39, 'type': 'POH'}</t>
  </si>
  <si>
    <t>{'word': '어시스턴스', 'start_idx': 42, 'end_idx': 46, 'type': 'POH'}</t>
  </si>
  <si>
    <t># 대회전 경기 활강 경기와 회전 경기가 혼합된 경기이다.코스에는 남녀 공통으로 30~35개의 기문이 설치된다.</t>
  </si>
  <si>
    <t>{'word': '대회전 경기', 'start_idx': 2, 'end_idx': 7, 'type': 'SPR'}</t>
  </si>
  <si>
    <t>{'word': '기문', 'start_idx': 53, 'end_idx': 54, 'type': 'EQP'}</t>
  </si>
  <si>
    <t>1877년 크레이튼과 맥길 대학교 학생들은 아이스하키의 경기 규칙을 만들었으며, 최초의 하키 클럽인 맥길 대학교 하키클럽이 1877년 창설되었다.</t>
  </si>
  <si>
    <t>{'word': '1877년', 'start_idx': 0, 'end_idx': 4, 'type': 'ORG'}</t>
  </si>
  <si>
    <t>{'word': '아이스하키', 'start_idx': 24, 'end_idx': 28, 'type': 'SPR'}</t>
  </si>
  <si>
    <t>알파인 경기는 알펜 경기라고도 하며 활강 경기·회전 경기·대회전 경기의 3종목과 이 중 두 가지 이상을 연결시킨 복합 경기가 있다.</t>
  </si>
  <si>
    <t>{'word': '알파인 경기', 'start_idx': 0, 'end_idx': 5, 'type': 'SPR'}</t>
  </si>
  <si>
    <t>{'word': '알펜 경기', 'start_idx': 8, 'end_idx': 12, 'type': 'SPR'}</t>
  </si>
  <si>
    <t># 회전 경기는 표고차 180~220m (여자는 120~180m) 이내에 깃발을 세워 만든 기문에 따라 정해진 코스를 스피드를 유지하면서 연속적인 턴으로 기문을 통과하는 경기이다.남자는 55~75개의 기문을, 여자는 40~60개의 기문을 통과하여 결승전에 도착한 시간으로 승부를 가린다.</t>
  </si>
  <si>
    <t>{'word': '회전 경기', 'start_idx': 2, 'end_idx': 6, 'type': 'SPR'}</t>
  </si>
  <si>
    <t>{'word': '깃발', 'start_idx': 41, 'end_idx': 42, 'type': 'EQP'}</t>
  </si>
  <si>
    <t>권총은 총기가 휴대 혹은 거치되어 있는 상태에서 사수가 총을 사용할 수 있도록 들어 올리는 행위이다.</t>
  </si>
  <si>
    <t>{'word': '권총', 'start_idx': 0, 'end_idx': 1, 'type': 'POH'}</t>
  </si>
  <si>
    <t>{'word': '총', 'start_idx': 31, 'end_idx': 31, 'type': 'EQP'}</t>
  </si>
  <si>
    <t>알파인 스키는 크로스 컨트리 스키, 스키 점프, 텔레마크 스키와 같이 비고정식 바인딩을 사용하는 산악 스키 혹은 노르딕 스키 스타일의 스포츠와 대조된다.</t>
  </si>
  <si>
    <t>{'word': '알파인 스키', 'start_idx': 0, 'end_idx': 5, 'type': 'SPR'}</t>
  </si>
  <si>
    <t>{'word': '산악 스키', 'start_idx': 54, 'end_idx': 58, 'type': 'SPR'}</t>
  </si>
  <si>
    <t>씨름에서 누가 먼저 땅에 닿았는지 판정하지 못한 경기를 개판이라고 부른다.</t>
  </si>
  <si>
    <t>{'word': '씨름', 'start_idx': 0, 'end_idx': 1, 'type': 'SPR'}</t>
  </si>
  <si>
    <t>{'word': '개판', 'start_idx': 31, 'end_idx': 32, 'type': 'POH'}</t>
  </si>
  <si>
    <t>영학정은 서울 양천구에 있다.</t>
  </si>
  <si>
    <t>{'word': '영학정', 'start_idx': 0, 'end_idx': 2, 'type': 'LOC'}</t>
  </si>
  <si>
    <t>{'word': '서울 양천구', 'start_idx': 5, 'end_idx': 10, 'type': 'LOC'}</t>
  </si>
  <si>
    <t>빠른 조준이나 정밀한 원거리 조준을 위해 광학식 조준기를 화기에 장착하여 사용하기도 한다.</t>
  </si>
  <si>
    <t>{'word': '광학식 조준기', 'start_idx': 23, 'end_idx': 29, 'type': 'EQP'}</t>
  </si>
  <si>
    <t>{'word': '화기', 'start_idx': 32, 'end_idx': 33, 'type': 'EQP'}</t>
  </si>
  <si>
    <t># 이 시기에 오프사이드, 페널티 샷(penalty shot) 등 새로운 규정이 생기면서 리그가 점차 체계를 갖추기 시작하였고, 1940년에는 TV 중계를 실시하였다. 특히 수비 중심의 경기에서, 속도감 있고 화려한 스틱기술을 사용한 공격 중심의 경기내용으로 변화하면서 큰 인기를 끌었고 1940년대부터 1960년대까지 황금기를 맞았다.</t>
  </si>
  <si>
    <t>{'word': '페널티 샷', 'start_idx': 15, 'end_idx': 19, 'type': 'POH'}</t>
  </si>
  <si>
    <t>{'word': 'penalty shot', 'start_idx': 21, 'end_idx': 32, 'type': 'POH'}</t>
  </si>
  <si>
    <t>스키는 대한민국의 경우 1910년 경에 들어왔으며, 1946년에는 대한스키협회가 창립되었다.</t>
  </si>
  <si>
    <t>{'word': '1946년', 'start_idx': 29, 'end_idx': 33, 'type': 'DAT'}</t>
  </si>
  <si>
    <t>{'word': '대한스키협회', 'start_idx': 37, 'end_idx': 42, 'type': 'ORG'}</t>
  </si>
  <si>
    <t>그러나 최근 씨름의 인기가 급속도로 떨어져 프로 씨름경기는 더이상 개최되지 않고 대학씨름대회를 비롯한 전국, 지방 단위의 씨름대회가 설날이나 단오 때 주로 열려 지상파를 통해 방영된다.</t>
  </si>
  <si>
    <t>{'word': '프로 씨름경기', 'start_idx': 24, 'end_idx': 30, 'type': 'POH'}</t>
  </si>
  <si>
    <t>{'word': '대학씨름대회', 'start_idx': 45, 'end_idx': 50, 'type': 'POH'}</t>
  </si>
  <si>
    <t>쇼트트랙에서 나머지 세 바퀴가 남은 시점에는 신호 총소리가 발포된다</t>
  </si>
  <si>
    <t>{'word': '총', 'start_idx': 28, 'end_idx': 28, 'type': 'EQP'}</t>
  </si>
  <si>
    <t># 아시아 버전의 NHL(북미아이스하키리그)라고도 불리는 아시아리그 아이스하키는 지난 2003년 출범하여 지금까지 이어져 오고 있다. 지난 2009-2010 시즌에는 한국팀으로는 사상 처음으로 안양 한라가 우승하기도 했다.</t>
  </si>
  <si>
    <t>{'word': '아시아리그 아이스하키', 'start_idx': 32, 'end_idx': 42, 'type': 'ORG'}</t>
  </si>
  <si>
    <t>{'word': '아시아 버전의 NHL', 'start_idx': 2, 'end_idx': 12, 'type': 'ORG'}</t>
  </si>
  <si>
    <t>회전 경기는 500m 안팎의 코스에 55~75개의 게이트(문)가 있는데 이 사이를 지그재그로 회전하면서 달리는 경기며 코스의 표고차는 남자 180-220m, 여자 120-180m이다.</t>
  </si>
  <si>
    <t>{'word': '게이트', 'start_idx': 28, 'end_idx': 30, 'type': 'EQP'}</t>
  </si>
  <si>
    <t>사이클로크로스(영어: Cyclo-cross, cyclocross, CX, CCX, cyclo-X, cross)는 자전거 경기의 한 종류로, 1902년 프랑스에서 국가 선수권 대회가 열린 이래, 1950년에는 세계 선수권대회가 열렸다.</t>
  </si>
  <si>
    <t>{'word': '사이클로크로스', 'start_idx': 0, 'end_idx': 6, 'type': 'ORG'}</t>
  </si>
  <si>
    <t>{'word': 'cyclocross', 'start_idx': 25, 'end_idx': 34, 'type': 'ORG'}</t>
  </si>
  <si>
    <t># 아이스하키는 한 팀에 골키퍼 1명, 수비수 2명, 공격수 3명이 있어야 하는데 계속 선수를 교체해 줘야 해서 22명의 선수가 필요하며, 20분을 1 피리어드로 하여 3 피리어드의 총 1시간 경기를 한다. 피리어드 사이에는 15분의 휴식 시간이 주어진다.</t>
  </si>
  <si>
    <t>{'word': '아이스하키', 'start_idx': 2, 'end_idx': 6, 'type': 'SPR'}</t>
  </si>
  <si>
    <t>{'word': '공격수', 'start_idx': 30, 'end_idx': 32, 'type': 'POH'}</t>
  </si>
  <si>
    <t>쇼트트랙에서 일반적인 경기 규칙 위반에 대한 실격 처리를 페널티라고 한다.</t>
  </si>
  <si>
    <t>{'word': '페널티', 'start_idx': 32, 'end_idx': 34, 'type': 'POH'}</t>
  </si>
  <si>
    <t>회전 경기는 표고차 180~220m (여자는 120~180m) 이내에 깃발을 세워 만든 기문에 따라 정해진 코스를 스피드를 유지하면서 연속적인 턴으로 기문을 통과하는 경기이다.</t>
  </si>
  <si>
    <t>{'word': '기문', 'start_idx': 49, 'end_idx': 50, 'type': 'EQP'}</t>
  </si>
  <si>
    <t>한국에서는 1928년에 &amp;quot;역기(力技)&amp;quot;라는 이름으로 첫선을 보였었다.</t>
  </si>
  <si>
    <t>{'word': '역기', 'start_idx': 14, 'end_idx': 15, 'type': 'SPR'}</t>
  </si>
  <si>
    <t>{'word': '한국', 'start_idx': 0, 'end_idx': 1, 'type': 'LOC'}</t>
  </si>
  <si>
    <t>스키는 스키를 발에 달고 설면 위를 달려 시간과 득점을 겨루는 경기이다.</t>
  </si>
  <si>
    <t>{'word': '스키', 'start_idx': 4, 'end_idx': 5, 'type': 'EQP'}</t>
  </si>
  <si>
    <t>스키운동에 의하여 공급되는 혈류량이 증가하므로 말초순환의 개선이 이루어진다.</t>
  </si>
  <si>
    <t>{'word': '말초순환', 'start_idx': 26, 'end_idx': 29, 'type': 'POH'}</t>
  </si>
  <si>
    <t>내셔널 하키 리그는 1907년 북아메리카아이스하키연합(National Hockey Association)과 태평양연안아이스하키연합(Pacific Coast Hockey Association)이 탄생하여 1914년 양 리그의 챔피언이 플레이오프를 통해 우승자를 가린 것이 시초였다.</t>
  </si>
  <si>
    <t>{'word': '북아메리카아이스하키연합', 'start_idx': 17, 'end_idx': 28, 'type': 'ORG'}</t>
  </si>
  <si>
    <t>{'word': '태평양연안아이스하키연합', 'start_idx': 60, 'end_idx': 71, 'type': 'ORG'}</t>
  </si>
  <si>
    <t>스키(ski)는 예로부터 교통 수단으로 이용되어 오다가, 19세기 후반에 북유럽에서 스포츠의 한 종목으로 정착한 이래 세계 각국에 널리 퍼졌다.</t>
  </si>
  <si>
    <t>{'word': '북유럽', 'start_idx': 41, 'end_idx': 43, 'type': 'LOC'}</t>
  </si>
  <si>
    <t>화약의 등장과 그에 따른 포의 발명으로, 오늘날과 같이 화기를 다루는 기술로서의 사격술이 등장하게 되었다고 할 수 있다.</t>
  </si>
  <si>
    <t>{'word': '사격술', 'start_idx': 45, 'end_idx': 47, 'type': 'SPR'}</t>
  </si>
  <si>
    <t>{'word': '화기', 'start_idx': 31, 'end_idx': 32, 'type': 'EQP'}</t>
  </si>
  <si>
    <t>씨름은 이미 상고시대부터 시작된 운동 경기로, 형성 과정은 알 수 없으나 각종 기록을 통해 역사를 대강 알 수 있다.</t>
  </si>
  <si>
    <t>{'word': '상고시대', 'start_idx': 7, 'end_idx': 10, 'type': 'DAT'}</t>
  </si>
  <si>
    <t>씨름은 터키 몽골등에도 존재하며 고구려인들에게서 퍼져나간 설이 존재한다.</t>
  </si>
  <si>
    <t>{'word': '몽골', 'start_idx': 7, 'end_idx': 8, 'type': 'LOC'}</t>
  </si>
  <si>
    <t>{'word': '고구려', 'start_idx': 18, 'end_idx': 20, 'type': 'LOC'}</t>
  </si>
  <si>
    <t>사이클로크로스 첫 세계 선수권대회는 1950년에 열렸다.</t>
  </si>
  <si>
    <t>{'word': '사이클로크로스', 'start_idx': 0, 'end_idx': 6, 'type': 'SPR'}</t>
  </si>
  <si>
    <t>{'word': '1950년', 'start_idx': 20, 'end_idx': 24, 'type': 'DAT'}</t>
  </si>
  <si>
    <t>총의 가늠자와 가늠쇠로 이루어지는 조준선이 시선과 일치할 수 있는 위치(높이)까지 들어올린다.</t>
  </si>
  <si>
    <t>{'word': '총', 'start_idx': 0, 'end_idx': 0, 'type': 'EQP'}</t>
  </si>
  <si>
    <t>{'word': '가늠쇠', 'start_idx': 8, 'end_idx': 10, 'type': 'POH'}</t>
  </si>
  <si>
    <t># 사격의 사전적 의미는 반드시 총포에 한정하지 않는다. 다시 말해 활이나 투석기 등의 화기가 발명되기 이전에도 사격은 존재했다고 할 수 있다.</t>
  </si>
  <si>
    <t>{'word': '사격', 'start_idx': 2, 'end_idx': 3, 'type': 'SPR'}</t>
  </si>
  <si>
    <t>{'word': '화기', 'start_idx': 49, 'end_idx': 50, 'type': 'POH'}</t>
  </si>
  <si>
    <t>아이스하키 국제 대회로는 세계선수권대회, 유럽선수권대회, 동계 올림픽이 있다.</t>
  </si>
  <si>
    <t>{'word': '아이스하키 국제 대회', 'start_idx': 0, 'end_idx': 10, 'type': 'POH'}</t>
  </si>
  <si>
    <t>{'word': '세계선수권대회', 'start_idx': 14, 'end_idx': 20, 'type': 'POH'}</t>
  </si>
  <si>
    <t># 한국민속씨름 협회는 이후 1985년 10월 6일 재정적 어려움을 겪고 있던 대한씨름협회와 통합하여 한국민속씨름 협회와 허완구 회장이 통합회장을 맡아 조산민속씨름 협회클럽클럽을 운영하고 프로씨름은 ‘민속씨름 햗위원회클럽’라는 이름으로 대회를 개최하였다. 그러던 중 1992년 10월 30일 사단법인 한국민속씨름 협회로 다시 변경을 오늘에 이르고 있다.</t>
  </si>
  <si>
    <t>{'word': '허완구', 'start_idx': 68, 'end_idx': 70, 'type': 'PER'}</t>
  </si>
  <si>
    <t>{'word': '조산민속씨름 협회클럽', 'start_idx': 85, 'end_idx': 95, 'type': 'ORG'}</t>
  </si>
  <si>
    <t>실질적으로 아주 짧기는 하지만 탄환이 총신을 빠져나가는 데는 시간이 소요되고, 방아쇠를 당기자 마자 몸을 움직이게 되면 총신을 움직여 탄환의 비행 방향에 영향을 미칠 수 있다는 데에 추적의 의미가 있다.</t>
  </si>
  <si>
    <t>{'word': '탄환', 'start_idx': 17, 'end_idx': 18, 'type': 'EQP'}</t>
  </si>
  <si>
    <t>{'word': '총신', 'start_idx': 67, 'end_idx': 68, 'type': 'POH'}</t>
  </si>
  <si>
    <t>과거에는 수동식의 광학 장비를 이용해 목표물의 위치와 거리를 측정하고, 수작업이나 혹은 단순한 기계식 장치로 탄도를 계산했지만, 현대에 와서는 인공위성이나 항공기의 도움을 얻어 목표물을 관측하고 컴퓨터를 이용해 탄도를 계산하여 발사하게 되었다.</t>
  </si>
  <si>
    <t>{'word': '인공위성', 'start_idx': 80, 'end_idx': 83, 'type': 'POH'}</t>
  </si>
  <si>
    <t>{'word': '컴퓨터', 'start_idx': 109, 'end_idx': 111, 'type': 'POH'}</t>
  </si>
  <si>
    <t># 아이스하키 국제 대회로는 세계선수권대회, 유럽선수권대회, 동계 올림픽이 있다. 현재 세계선수권대회는 승강제 리그로 진행되어, 하위팀 1개 팀이 강등되는 식으로 진행된다.</t>
  </si>
  <si>
    <t>{'word': '세계선수권대회', 'start_idx': 16, 'end_idx': 22, 'type': 'POH'}</t>
  </si>
  <si>
    <t>{'word': '유럽선수권대회', 'start_idx': 25, 'end_idx': 31, 'type': 'POH'}</t>
  </si>
  <si>
    <t>슈퍼대회전 경기는 대회전과 거의 흡사하지만, 기문이 좀 더 넉넉한 거리로 설치되어 있고 경사는 좀더 가파르며 점프지점이 두 곳 있다.</t>
  </si>
  <si>
    <t>{'word': '슈퍼대회전', 'start_idx': 0, 'end_idx': 4, 'type': 'SPR'}</t>
  </si>
  <si>
    <t>{'word': '기문', 'start_idx': 25, 'end_idx': 26, 'type': 'EQP'}</t>
  </si>
  <si>
    <t># 주법에도 한국만의 독특함이 존재한다. 바로 ‘호리병 주법’이다.</t>
  </si>
  <si>
    <t>{'word': '한국', 'start_idx': 7, 'end_idx': 8, 'type': 'LOC'}</t>
  </si>
  <si>
    <t>{'word': '호리병 주법', 'start_idx': 27, 'end_idx': 32, 'type': 'POH'}</t>
  </si>
  <si>
    <t>크로스컨트리 경기는 개인 경기와 릴레이가 있으며, 개인 경기는 평지·오르막길·내리막길이 1/3씩 만들어져 있는데, 남자 15km, 30km, 50km, 여자 5km, 10km, 20km가 있다.</t>
  </si>
  <si>
    <t>{'word': '크로스컨트리', 'start_idx': 0, 'end_idx': 5, 'type': 'SPR'}</t>
  </si>
  <si>
    <t>{'word': '릴레이', 'start_idx': 18, 'end_idx': 20, 'type': 'SPR'}</t>
  </si>
  <si>
    <t>폴을 잡을 때에는 손을 끼는 끈이 붙어 있는데 이것이 없거나 끊어져 있으면 리프트를 타는 도중이나 타다가 넘어질 때에 폴을 떨어뜨리게 되므로 출발 전에 잘 살펴보아야 한다.</t>
  </si>
  <si>
    <t>{'word': '폴', 'start_idx': 0, 'end_idx': 0, 'type': 'EQP'}</t>
  </si>
  <si>
    <t>{'word': '끈', 'start_idx': 16, 'end_idx': 16, 'type': 'POH'}</t>
  </si>
  <si>
    <t># 가늠자와 가늠쇠를 일치시켜 조준선을 정렬하고 그 조준선을 목표물 위에 일치시킨다. 그러나 총탄의 탄도는 직선을 그리지 않으므로, 목표물과 사수의 거리가 멀어질수록 조준점의 수정이 필요해지고, 따라서 저격수 등의 경우 계산기 등의 도움을 받기도 한다.</t>
  </si>
  <si>
    <t>{'word': '가늠자', 'start_idx': 2, 'end_idx': 4, 'type': 'EQP'}</t>
  </si>
  <si>
    <t>{'word': '계산기', 'start_idx': 123, 'end_idx': 125, 'type': 'EQP'}</t>
  </si>
  <si>
    <t>현대의 씨름 경기는 1920년대에는 전성기를 맞는다.</t>
  </si>
  <si>
    <t>{'word': '씨름', 'start_idx': 4, 'end_idx': 5, 'type': 'SPR'}</t>
  </si>
  <si>
    <t>{'word': '1920년대', 'start_idx': 11, 'end_idx': 16, 'type': 'DAT'}</t>
  </si>
  <si>
    <t>또한, 야간 사격을 위해서 적외선을 이용하는 야시경을 총에 장착하기도 한다.</t>
  </si>
  <si>
    <t>{'word': '야시경', 'start_idx': 25, 'end_idx': 27, 'type': 'EQP'}</t>
  </si>
  <si>
    <t>{'word': '총', 'start_idx': 30, 'end_idx': 30, 'type': 'EQP'}</t>
  </si>
  <si>
    <t>따라서, 이미 고구려 때 씨름은 삼국시대 이전부터 있었던 것으로 본다.</t>
  </si>
  <si>
    <t>{'word': '고구려', 'start_idx': 8, 'end_idx': 10, 'type': 'LOC'}</t>
  </si>
  <si>
    <t>{'word': '씨름', 'start_idx': 14, 'end_idx': 15, 'type': 'SPR'}</t>
  </si>
  <si>
    <t>밭다리 걸기는 다리가 길거나 키가 클 때 유리하며, 샅바를 당기고 오른 다리를 상대방 다리에 걸어 밀면서 넘어뜨리는 기술이다.</t>
  </si>
  <si>
    <t>{'word': '밭다리 걸기', 'start_idx': 0, 'end_idx': 5, 'type': 'POH'}</t>
  </si>
  <si>
    <t>{'word': '샅바', 'start_idx': 29, 'end_idx': 30, 'type': 'POH'}</t>
  </si>
  <si>
    <t>콘티넨탈 하키 리그(러시아어: Континентальная Хоккейная Лига, КХЛ, 영어: Kontinental Hockey League, KHL)은 2008년에 러시아 수페르리가를 계승하여 창설된 유라시아의 프로 아이스하키 리그이며 세계에서 내셔널 아이스하키 리그 (NHL) 다음으로 가는 리그이다.</t>
  </si>
  <si>
    <t>{'word': '콘티넨탈 하키 리그', 'start_idx': 0, 'end_idx': 9, 'type': 'SPR'}</t>
  </si>
  <si>
    <t>{'word': '내셔널 아이스하키 리그', 'start_idx': 143, 'end_idx': 154, 'type': 'SPR'}</t>
  </si>
  <si>
    <t>역도 선수는 벨트를 착용할 수 있다.</t>
  </si>
  <si>
    <t>{'word': '역도', 'start_idx': 0, 'end_idx': 1, 'type': 'SPR'}</t>
  </si>
  <si>
    <t>{'word': '벨트', 'start_idx': 7, 'end_idx': 8, 'type': 'EQP'}</t>
  </si>
  <si>
    <t>사이클로크로스를 누가 먼저 시작했는지에 대해 많은 이야기가 있으나, 1900년대 초 유럽 도로 자전거 경기 중 다음 도시로 가는 길에 울타리를 넘어 근처 목장을 가로질러 빨리 갈 수 있도록 허용했던 일이라고도 한다.</t>
  </si>
  <si>
    <t>{'word': '1900년대 초', 'start_idx': 38, 'end_idx': 45, 'type': 'DAT'}</t>
  </si>
  <si>
    <t>알파인 스키는 1861년 오스트레일리아 뉴사우스웨일스주 키앤드라(Kiandra)와 북아메리카, 오스트리아 및 스위스 알프스 지역의 일부 유사한 성격의 클럽에서 클럽 스포츠로서 시작되었다.</t>
  </si>
  <si>
    <t>{'word': '1861년', 'start_idx': 8, 'end_idx': 12, 'type': 'DAT'}</t>
  </si>
  <si>
    <t>종목별로 스키를 일자로만 움직일수 있는 '클래식주법'경기와 스케이트타는 모양으로 스키를 타는 '프리스타일주법'의 두가지 경기가 열린다.</t>
  </si>
  <si>
    <t>{'word': '스키', 'start_idx': 5, 'end_idx': 6, 'type': 'SPR'}</t>
  </si>
  <si>
    <t>{'word': '클래식주법', 'start_idx': 23, 'end_idx': 27, 'type': 'SPR'}</t>
  </si>
  <si>
    <t>주로 도로 경기가 없는 늦 가을부터 봄까지 선수들의 몸을 유지하기 위해서 라는 말도있고, 잘 닦여진 도로만 달리는 도로 자전거 경기와 달리 비포장 열악한 지형을 달리다 보면 선수들의 능력이 한층 올라가고, 발끝까지 혈액 순환도 잘 되는 좋은 점 때문에 시작되었다고도 한다.</t>
  </si>
  <si>
    <t>{'word': '도로 자전거 경기', 'start_idx': 64, 'end_idx': 72, 'type': 'SPR'}</t>
  </si>
  <si>
    <t>{'word': '비포장 열악한 지형', 'start_idx': 78, 'end_idx': 87, 'type': 'LOC'}</t>
  </si>
  <si>
    <t>현재 씨름과 가장 유사한 운동은 일본의 스모, 몽골(베흐)과 터키의 씨름이다.</t>
  </si>
  <si>
    <t>{'word': '스모', 'start_idx': 22, 'end_idx': 23, 'type': 'SPR'}</t>
  </si>
  <si>
    <t>한중일 빙판 삼국지가 벌이는 아시아리그 아이스하키는 한국 세팀(안양 한라, 하이원, 대명 상무) 일본 네팀(오지 이글스, 일본제지 크레인스, 토호쿠 프리블레이즈, 닛코 아이스벅스) 중국 한팀(차이나 드레곤스) 등 총 8 팀이 매시즌 참가한다.</t>
  </si>
  <si>
    <t>{'word': '일본', 'start_idx': 54, 'end_idx': 55, 'type': 'ORG'}</t>
  </si>
  <si>
    <t>{'word': '닛코 아이스벅스', 'start_idx': 91, 'end_idx': 98, 'type': 'ORG'}</t>
  </si>
  <si>
    <t>{'word': '역도', 'start_idx': 3, 'end_idx': 4, 'type': 'SPR'}</t>
  </si>
  <si>
    <t>{'word': '경기대', 'start_idx': 27, 'end_idx': 29, 'type': 'ORG'}</t>
  </si>
  <si>
    <t>회전경기는 활강, 대회전과는 다르게 깃발이 없는 일자형 기문을 매우 촘촘하게 세워놓는다.</t>
  </si>
  <si>
    <t>{'word': '회전경기', 'start_idx': 0, 'end_idx': 3, 'type': 'SPR'}</t>
  </si>
  <si>
    <t>{'word': '대회전', 'start_idx': 10, 'end_idx': 12, 'type': 'SPR'}</t>
  </si>
  <si>
    <t>경우에 따라 스키장처럼 관리된 환경이 아닌 순수 산악 환경에서 알파인 스키를 즐기는 것도 가능하며, 이러한 스타일을 투어링 스키, 백컨트리 스키 또는 익스트림 스키라고 부른다.</t>
  </si>
  <si>
    <t>{'word': '백컨트리 스키', 'start_idx': 73, 'end_idx': 79, 'type': 'SPR'}</t>
  </si>
  <si>
    <t>{'word': '익스트림 스키', 'start_idx': 84, 'end_idx': 90, 'type': 'SPR'}</t>
  </si>
  <si>
    <t>지역별로 동부 컨퍼런스 16개 구단과 서부 컨퍼런스 15개 구단으로 크게 나누고 각 콘퍼런스는 다시 2개 지구로 나뉘어 있다.</t>
  </si>
  <si>
    <t>{'word': '동부 컨퍼런스', 'start_idx': 5, 'end_idx': 11, 'type': 'ORG'}</t>
  </si>
  <si>
    <t>{'word': '서부 컨퍼런스', 'start_idx': 21, 'end_idx': 27, 'type': 'ORG'}</t>
  </si>
  <si>
    <t>배지기는씨름 기술 중에서 매우 기본적인 기술로, 대표적인 공격 기술이기도 하다.</t>
  </si>
  <si>
    <t>{'word': '배지기', 'start_idx': 0, 'end_idx': 2, 'type': 'POH'}</t>
  </si>
  <si>
    <t>요트는 정해진 코스를 요트로 빨리 완주하는 경기도 통칭하기도 한다.</t>
  </si>
  <si>
    <t>{'word': '요트', 'start_idx': 0, 'end_idx': 1, 'type': 'SPR'}</t>
  </si>
  <si>
    <t>{'word': '요트', 'start_idx': 12, 'end_idx': 13, 'type': 'EQP'}</t>
  </si>
  <si>
    <t>그리고 1664년 5월에는 씨름 경기에서 이기지 못하여 상대방을 칼로 찔러 죽였다는 기록도 있다.</t>
  </si>
  <si>
    <t>{'word': '1664년 5월', 'start_idx': 4, 'end_idx': 11, 'type': 'DAT'}</t>
  </si>
  <si>
    <t>{'word': '씨름', 'start_idx': 15, 'end_idx': 16, 'type': 'SPR'}</t>
  </si>
  <si>
    <t>점프 경기는 남자만의 경기로 보통 90m 이상의 준비된 활주로를 힘차게 내려오면서 공중을 나는 거리, 높이, 착지 자세를 채점한다.</t>
  </si>
  <si>
    <t>{'word': '점프 경기', 'start_idx': 0, 'end_idx': 4, 'type': 'SPR'}</t>
  </si>
  <si>
    <t>{'word': '활주로', 'start_idx': 31, 'end_idx': 33, 'type': 'EQP'}</t>
  </si>
  <si>
    <t>조준은 탄환이 목표물을 향해 날아갈 수 있도록 총구의 방향을 결정하는 것이다.</t>
  </si>
  <si>
    <t>{'word': '조준', 'start_idx': 0, 'end_idx': 1, 'type': 'POH'}</t>
  </si>
  <si>
    <t>{'word': '탄환', 'start_idx': 4, 'end_idx': 5, 'type': 'EQP'}</t>
  </si>
  <si>
    <t>그러나 총탄의 탄도는 직선을 그리지 않으므로, 목표물과 사수의 거리가 멀어질수록 조준점의 수정이 필요해지고, 따라서 저격수 등의 경우 계산기 등의 도움을 받기도 한다.</t>
  </si>
  <si>
    <t>{'word': '총탄', 'start_idx': 4, 'end_idx': 5, 'type': 'EQP'}</t>
  </si>
  <si>
    <t>{'word': '계산기', 'start_idx': 75, 'end_idx': 77, 'type': 'EQP'}</t>
  </si>
  <si>
    <t>요트는 올림픽의 정식 종목으로써 조정과 같이 인기를 누리고 있다.</t>
  </si>
  <si>
    <t>{'word': '조정', 'start_idx': 18, 'end_idx': 19, 'type': 'SPR'}</t>
  </si>
  <si>
    <t>폴은 금속·플라스틱·글라스 파이버로 만든 것으로서, 거꾸로 세워 바스켓이 겨드랑이 밑에 오는 정도의 길이가 알맞다.</t>
  </si>
  <si>
    <t>{'word': '금속', 'start_idx': 3, 'end_idx': 4, 'type': 'POH'}</t>
  </si>
  <si>
    <t>#사이클로크로스(영어: Cyclo-cross, cyclocross, CX, CCX, cyclo-X, cross)는 자전거 경기의 한 종류로, 1902년 프랑스에서 국가 선수권 대회가 열린 이래, 1950년에는 세계 선수권대회가 열렸다. 경기는 보통 한시간 정도 걸리며, 도로외에도 울퉁불퉁하고 험난한 비포장 도로 3 km 구간을 여러번 달린다.유럽 미국 등지에서 주로 유행하며 대한민국에는 잘 알려져 있지 않다.</t>
  </si>
  <si>
    <t>{'word': '사이클로크로스', 'start_idx': 1, 'end_idx': 7, 'type': 'SPR'}</t>
  </si>
  <si>
    <t>{'word': '1902년', 'start_idx': 79, 'end_idx': 83, 'type': 'DAT'}</t>
  </si>
  <si>
    <t>오늘날 세계의 아이스하키는 크게 북미와 유럽, 아시아 지역으로 구분된다.</t>
  </si>
  <si>
    <t>{'word': '아이스하키', 'start_idx': 8, 'end_idx': 12, 'type': 'SPR'}</t>
  </si>
  <si>
    <t>{'word': '북미', 'start_idx': 18, 'end_idx': 19, 'type': 'LOC'}</t>
  </si>
  <si>
    <t>노르딕 복합경기는 크로스컨트리 경기와 점프 경기를 복합한 것으로 15km 이상을 달리며 세 번 점프한다.</t>
  </si>
  <si>
    <t>{'word': '노르딕 복합경기', 'start_idx': 0, 'end_idx': 7, 'type': 'SPR'}</t>
  </si>
  <si>
    <t>{'word': '크로스컨트리 경기', 'start_idx': 10, 'end_idx': 18, 'type': 'SPR'}</t>
  </si>
  <si>
    <t>장비는 목 보호대, 가슴과 어깨 보호대, 팔꿈치 보호대, 정강이 보호대, 스케이트, 스틱, 퍽이고 골키퍼들의 장비는 보통 선수보다 6kg 이상 더 무거운 장비를 착용하는데, 골키퍼용 스틱 (골키퍼 전용 스틱), 골키퍼용 가슴 보호대, 눈 보호용 고글, 스케이트 등이다.</t>
  </si>
  <si>
    <t>{'word': '팔꿈치 보호대', 'start_idx': 23, 'end_idx': 29, 'type': 'POH'}</t>
  </si>
  <si>
    <t>{'word': '정강이 보호대', 'start_idx': 32, 'end_idx': 38, 'type': 'POH'}</t>
  </si>
  <si>
    <t>소총이나 권총과 같은 소화기의 사격은 보통 사람의 눈을 통해 이루어진다.</t>
  </si>
  <si>
    <t>{'word': '소화기', 'start_idx': 12, 'end_idx': 14, 'type': 'EQP'}</t>
  </si>
  <si>
    <t>{'word': '권총', 'start_idx': 5, 'end_idx': 6, 'type': 'EQP'}</t>
  </si>
  <si>
    <t>알파인 스키(Alpine skiing)는 뒷꿈치가 고정된 바인딩을 사용한 스키를 타고 눈 덮인 슬로프를 내려오는 스포츠이다.</t>
  </si>
  <si>
    <t>{'word': '스키', 'start_idx': 41, 'end_idx': 42, 'type': 'EQP'}</t>
  </si>
  <si>
    <t>돌을 던져 사냥을 하기도 했으며, 활이 발명된 이후에는 화살로 먼 곳의 목표물을 쏘아 맞히기도 했다.</t>
  </si>
  <si>
    <t>{'word': '활', 'start_idx': 19, 'end_idx': 19, 'type': 'EQP'}</t>
  </si>
  <si>
    <t>{'word': '화살', 'start_idx': 31, 'end_idx': 32, 'type': 'EQP'}</t>
  </si>
  <si>
    <t>인천시립양궁장은 인천광역시 남구에 있다.</t>
  </si>
  <si>
    <t>{'word': '인천시립양궁장', 'start_idx': 0, 'end_idx': 6, 'type': 'LOC'}</t>
  </si>
  <si>
    <t>{'word': '인천광역시 남구', 'start_idx': 9, 'end_idx': 16, 'type': 'LOC'}</t>
  </si>
  <si>
    <t>용상에서는 저크 동작에서 선수는 양다리를 구부리고 양팔을 수직으로 뻗어 완전히 편 상태까지 바벨을 가져오도록 양팔뿐만 아니라 양다리를 편다.</t>
  </si>
  <si>
    <t>{'word': '바벨', 'start_idx': 51, 'end_idx': 52, 'type': 'EQP'}</t>
  </si>
  <si>
    <t>현재 세계선수권대회는 승강제 리그로 진행되어, 하위팀 1개 팀이 강등되는 식으로 진행된다.</t>
  </si>
  <si>
    <t>{'word': '세계선수권대회', 'start_idx': 3, 'end_idx': 9, 'type': 'ORG'}</t>
  </si>
  <si>
    <t>{'word': '하위팀', 'start_idx': 26, 'end_idx': 28, 'type': 'ORG'}</t>
  </si>
  <si>
    <t>역도(力道, 문화어: 력도)는 바벨(barbell)을 머리 위로 들어올려 그 무게를 겨루는 경기이다.</t>
  </si>
  <si>
    <t>{'word': '력도', 'start_idx': 12, 'end_idx': 13, 'type': 'SPR'}</t>
  </si>
  <si>
    <t>여러 씨름으로 추정되는 그림들 중에 고고학적으로 씨름에 관한 정확한 기원과 모습은 오직 고구려 벽화에서만 볼 수 있다.</t>
  </si>
  <si>
    <t>{'word': '씨름', 'start_idx': 27, 'end_idx': 28, 'type': 'ORG'}</t>
  </si>
  <si>
    <t>{'word': '고구려', 'start_idx': 49, 'end_idx': 51, 'type': 'LOC'}</t>
  </si>
  <si>
    <t>아마추어 씨름대회는 조선민속씨름 협회클럽클럽에서 개최하며 경장급, 소장급, 청장급, 용장급, 용사급, 역사급, 장사급과 체급을 운용하여 선수를 선발하고 프로씨름대회는 한국민속씨름 협회에서 개최하며 지역급, 한라급, 백두급, 단체급과 체급을 운용하여 선수를 선발한다.</t>
  </si>
  <si>
    <t>{'word': '한국민속씨름 협회', 'start_idx': 93, 'end_idx': 101, 'type': 'ORG'}</t>
  </si>
  <si>
    <t>{'word': '프로씨름대회', 'start_idx': 85, 'end_idx': 90, 'type': 'POH'}</t>
  </si>
  <si>
    <t>러시아,카자흐스탄,라트비아 팀등이 참여한다.</t>
  </si>
  <si>
    <t>{'word': '카자흐스탄', 'start_idx': 4, 'end_idx': 8, 'type': 'LOC'}</t>
  </si>
  <si>
    <t>{'word': '라트비아', 'start_idx': 10, 'end_idx': 13, 'type': 'LOC'}</t>
  </si>
  <si>
    <t>유럽 미국 등지에서 주로 유행하며 대한민국에는 잘 알려져 있지 않다.</t>
  </si>
  <si>
    <t>{'word': '유럽', 'start_idx': 0, 'end_idx': 1, 'type': 'LOC'}</t>
  </si>
  <si>
    <t>{'word': '대한민국', 'start_idx': 19, 'end_idx': 22, 'type': 'LOC'}</t>
  </si>
  <si>
    <t>성인 씨름 경기의 최종 우승자는 풍년을 상징하는 황소를 부상으로 받으며 장사라고 불린다.</t>
  </si>
  <si>
    <t>{'word': '장사', 'start_idx': 40, 'end_idx': 41, 'type': 'POH'}</t>
  </si>
  <si>
    <t>씨름의 기술은 크게 손기술, 발기술, 허리 기술이 있으며, 실제 경기 할 때에는 적절히 사용해야 한다.</t>
  </si>
  <si>
    <t>{'word': '허리 기술', 'start_idx': 21, 'end_idx': 25, 'type': 'POH'}</t>
  </si>
  <si>
    <t>지난 2009-2010 시즌에는 한국팀으로는 사상 처음으로 안양 한라가 우승하기도 했다.</t>
  </si>
  <si>
    <t>{'word': '한국팀', 'start_idx': 18, 'end_idx': 20, 'type': 'ORG'}</t>
  </si>
  <si>
    <t>{'word': '안양 한라', 'start_idx': 33, 'end_idx': 37, 'type': 'ORG'}</t>
  </si>
  <si>
    <t>하지만, 한국에서 공식적인 씨름 경기는 왼씨름을 채택한다.</t>
  </si>
  <si>
    <t>{'word': '왼씨름', 'start_idx': 22, 'end_idx': 24, 'type': 'SPR'}</t>
  </si>
  <si>
    <t># 빠른 조준이나 정밀한 원거리 조준을 위해 광학식 조준기를 화기에 장착하여 사용하기도 한다.또한, 야간 사격을 위해서 적외선을 이용하는 야시경을 총에 장착하기도 한다.</t>
  </si>
  <si>
    <t>{'word': '야시경', 'start_idx': 77, 'end_idx': 79, 'type': 'EQP'}</t>
  </si>
  <si>
    <t>{'word': '총', 'start_idx': 82, 'end_idx': 82, 'type': 'EQP'}</t>
  </si>
  <si>
    <t>쇼트트랙에서 안전하지 못하거나, 해롭거나 또는 위험한 공격, 한 경기 내에서 페널티로 귀결되는 상호 독립적인 “임페딩” 또는 “킥킹 아웃”에 해당하는 경기 규칙을 둘 이상 위반한 경우에는 옐로 카드가 주어진다.</t>
  </si>
  <si>
    <t>{'word': '임페딩', 'start_idx': 62, 'end_idx': 64, 'type': 'LOC'}</t>
  </si>
  <si>
    <t>사격의 사전적 의미는 반드시 총포에 한정하지 않는다.</t>
  </si>
  <si>
    <t>{'word': '사격', 'start_idx': 0, 'end_idx': 1, 'type': 'SPR'}</t>
  </si>
  <si>
    <t>{'word': '총포', 'start_idx': 16, 'end_idx': 17, 'type': 'EQP'}</t>
  </si>
  <si>
    <t>요트는 올림픽 대회와 아시아 경기대회의 정식 종목이다.</t>
  </si>
  <si>
    <t>{'word': '올림픽 대회', 'start_idx': 4, 'end_idx': 9, 'type': 'POH'}</t>
  </si>
  <si>
    <t># 역도 선수는 벨트를 착용할 수 있다. 단 벨트 너비가 120mm를 초과해서는 안 된다.</t>
  </si>
  <si>
    <t>{'word': '역도', 'start_idx': 2, 'end_idx': 3, 'type': 'SPR'}</t>
  </si>
  <si>
    <t>{'word': '벨트', 'start_idx': 9, 'end_idx': 10, 'type': 'EQP'}</t>
  </si>
  <si>
    <t>쇼트트랙에서 모든 멤버는 같은 유니폼을 착용하여야 한다는 규칙을 지키지 않는 팀은 해당 경기의 출전에서 제외된다.</t>
  </si>
  <si>
    <t>{'word': '유니폼', 'start_idx': 17, 'end_idx': 19, 'type': 'EQP'}</t>
  </si>
  <si>
    <t>사서에 쓰여진 씨름에 관한 기록은 조선 세종 때 제작된 《고려사》에서 찾아볼 수 있다.</t>
  </si>
  <si>
    <t>{'word': '씨름', 'start_idx': 8, 'end_idx': 9, 'type': 'SPR'}</t>
  </si>
  <si>
    <t>{'word': '세종', 'start_idx': 22, 'end_idx': 23, 'type': 'PER'}</t>
  </si>
  <si>
    <t>1660년, 네덜란드가 영국의 찰스 2세에게 야트라는 배를 선물한 것이 요트의 시초이며, 18세기 말경부터 세계 여러 나라에 보급되었다.</t>
  </si>
  <si>
    <t>{'word': '야트', 'start_idx': 25, 'end_idx': 26, 'type': 'EQP'}</t>
  </si>
  <si>
    <t>{'word': '요트', 'start_idx': 40, 'end_idx': 41, 'type': 'SPR'}</t>
  </si>
  <si>
    <t>회전경기는 간격도 좁다 보니 정강이 보호대, 팔뚝 보호대, 턱 가드 붙은 헬멧 등 보호 장비를 착용한다.</t>
  </si>
  <si>
    <t>{'word': '턱 가드 붙은 헬멧', 'start_idx': 33, 'end_idx': 42, 'type': 'EQP'}</t>
  </si>
  <si>
    <t>#먼 사정거리를 가지는 포의 경우 탄도는 포물선을 그리게 되며, 목표물 자체도 시야가 미치지 않는 먼 곳에 있다. 따라서 소화기와 같은 방법으로 사격할 수는 없고, 각종 관측장비의 도움을 필요로 하게 된다.</t>
  </si>
  <si>
    <t>{'word': '포', 'start_idx': 13, 'end_idx': 13, 'type': 'EQP'}</t>
  </si>
  <si>
    <t>{'word': '소화기', 'start_idx': 68, 'end_idx': 70, 'type': 'EQP'}</t>
  </si>
  <si>
    <t>씨름은 그 긴 역사만큼이나 다양한 이름이 있는데, 주로 각저(角抵)·각희(角戱)·상박으로 불렸다고 한다.</t>
  </si>
  <si>
    <t>{'word': '각저', 'start_idx': 31, 'end_idx': 32, 'type': 'SPR'}</t>
  </si>
  <si>
    <t>사이클로크로스의 어떤 구간에서는 자전거를 들고 달려야 하는 경우도 있다.</t>
  </si>
  <si>
    <t>{'word': '자전거', 'start_idx': 18, 'end_idx': 20, 'type': 'EQP'}</t>
  </si>
  <si>
    <t>쇼트트랙에서 위험하거나 중대한 과실이 있다고 판단되는 경기 규칙을 위반한 경우, 선수가 동일한 대회에서 2 장의 옐로우 카드를 받은 경우에는 레드 카드가 주어진다.</t>
  </si>
  <si>
    <t>{'word': '레드 카드', 'start_idx': 79, 'end_idx': 83, 'type': 'POH'}</t>
  </si>
  <si>
    <t>안양 양궁경기장은 경기도 안양시에 있다.</t>
  </si>
  <si>
    <t>{'word': '안양 양궁경기장', 'start_idx': 0, 'end_idx': 7, 'type': 'LOC'}</t>
  </si>
  <si>
    <t>{'word': '경기도 안양시', 'start_idx': 10, 'end_idx': 16, 'type': 'LOC'}</t>
  </si>
  <si>
    <t>특히 수비 중심의 경기에서, 속도감 있고 화려한 스틱기술을 사용한 공격 중심의 경기내용으로 변화하면서 큰 인기를 끌었고 1940년대부터 1960년대까지 황금기를 맞았다.</t>
  </si>
  <si>
    <t>{'word': '스틱', 'start_idx': 27, 'end_idx': 28, 'type': 'POH'}</t>
  </si>
  <si>
    <t>{'word': '1960년', 'start_idx': 76, 'end_idx': 80, 'type': 'DAT'}</t>
  </si>
  <si>
    <t>오늘날 알파인 스키는 대부분 리프트 시설을 갖춘 스키장에서 행해진다.</t>
  </si>
  <si>
    <t>{'word': '알파인 스키', 'start_idx': 4, 'end_idx': 9, 'type': 'SPR'}</t>
  </si>
  <si>
    <t>{'word': '리프트', 'start_idx': 16, 'end_idx': 18, 'type': 'EQP'}</t>
  </si>
  <si>
    <t>쇼트트랙에서 만일 어떤 선수가 12 개월 이내에 2 장의 레드 카드가 누적될 경우, 해당 선수는 자동적으로 2~3개월간 자격이 정지되며 추가 징계로 최소 1년의 자격 정지가 고려될 수 있는데 이 기간 동안 동계 올림픽을 포함해 모든 ISU 선수권 대회와 국제대회에 출전할 수 없다.</t>
  </si>
  <si>
    <t>{'word': '동계 올림픽', 'start_idx': 115, 'end_idx': 120, 'type': 'POH'}</t>
  </si>
  <si>
    <t>{'word': 'ISU 선수권 대회', 'start_idx': 130, 'end_idx': 139, 'type': 'POH'}</t>
  </si>
  <si>
    <t>공식 알파인 스키 경기에는 회전, 대회전, 슈퍼 대회전, 활강의 4가지 부문이 있다.</t>
  </si>
  <si>
    <t>{'word': '알파인 스키', 'start_idx': 3, 'end_idx': 8, 'type': 'SPR'}</t>
  </si>
  <si>
    <t>{'word': '슈퍼 대회전', 'start_idx': 24, 'end_idx': 29, 'type': 'SPR'}</t>
  </si>
  <si>
    <t>남자는 55~75개의 기문을, 여자는 40~60개의 기문을 통과하여 결승전에 도착한 시간으로 승부를 가린다.</t>
  </si>
  <si>
    <t>{'word': '기문', 'start_idx': 12, 'end_idx': 13, 'type': 'EQP'}</t>
  </si>
  <si>
    <t>{'word': '기문', 'start_idx': 29, 'end_idx': 30, 'type': 'EQP'}</t>
  </si>
  <si>
    <t>대개 씨름기술에는 상황에 따라 되치기를 사용할 수 있으며, 되치기를 통해 오히려 상대방을 넘어뜨릴 수 있다.</t>
  </si>
  <si>
    <t>{'word': '되치기', 'start_idx': 17, 'end_idx': 19, 'type': 'SPR'}</t>
  </si>
  <si>
    <t>그리하여 일본 학계에서도 일본의 스모의 고구려의 기원설이 지배적이다.</t>
  </si>
  <si>
    <t>{'word': '일본', 'start_idx': 14, 'end_idx': 15, 'type': 'ORG'}</t>
  </si>
  <si>
    <t>{'word': '스모', 'start_idx': 18, 'end_idx': 19, 'type': 'SPR'}</t>
  </si>
  <si>
    <t>씨름은 한국 고유의 운동으로, 두 사람이 샅바나 바지 허리춤을 잡고 힘과 슬기를 겨루어 상대방을 넘어뜨리는 경기이다.</t>
  </si>
  <si>
    <t>{'word': '샅바', 'start_idx': 23, 'end_idx': 24, 'type': 'EQP'}</t>
  </si>
  <si>
    <t>아이스하키는 한 팀에 골키퍼 1명, 수비수 2명, 공격수 3명이 있어야 하는데 계속 선수를 교체해 줘야 해서 22명의 선수가 필요하며, 20분을 1 피리어드로 하여 3 피리어드의 총 1시간 경기를 한다.</t>
  </si>
  <si>
    <t>{'word': '골키퍼', 'start_idx': 12, 'end_idx': 14, 'type': 'POH'}</t>
  </si>
  <si>
    <t>한국민속씨름 협회는 ‘천하장사 씨름대회’, ‘지역장사씨름대회’ 등과 프로씨름대회를 개최하며 ‘천하장사’, ‘지역장사’, ‘한라장사’, ‘백두장사’, ‘단체전’ 등을 선발한다.</t>
  </si>
  <si>
    <t>{'word': '한국민속씨름 협회', 'start_idx': 0, 'end_idx': 8, 'type': 'ORG'}</t>
  </si>
  <si>
    <t>{'word': '지역장사씨름대회', 'start_idx': 25, 'end_idx': 32, 'type': 'POH'}</t>
  </si>
  <si>
    <t>한편 예언은 격발 직후 조준선의 변화를 보고 탄착의 위치를 예측하는 것으로서, 조준선 정렬을 최후까지 유지함으로써 사수의 움직임이 탄도에 미치는 영향을 최소화한다는, 추적과 같은 의미가 있는 한편, 사수 스스로의 행위를 점검해봄으로서 다음 발 사격에 대비한다는 의미도 있다.</t>
  </si>
  <si>
    <t>{'word': '조준선', 'start_idx': 13, 'end_idx': 15, 'type': 'POH'}</t>
  </si>
  <si>
    <t>{'word': '탄착', 'start_idx': 25, 'end_idx': 26, 'type': 'POH'}</t>
  </si>
  <si>
    <t>쇼트트랙에서 교대하는 동안, 레인을 바꾸는 것은 허용되지 않으며, 미는 선수 앞에서 곧바로 교대해야 하며, 다른 선수들을 가로막지 않아야 한다</t>
  </si>
  <si>
    <t>{'word': '레인', 'start_idx': 16, 'end_idx': 17, 'type': 'LOC'}</t>
  </si>
  <si>
    <t># 팀의 모든 멤버는 같은 유니폼을 착용하여야 한다. 이 규칙을 지키지 않는 팀은 해당 경기의 출전에서 제외된다.</t>
  </si>
  <si>
    <t>{'word': '팀', 'start_idx': 2, 'end_idx': 2, 'type': 'ORG'}</t>
  </si>
  <si>
    <t>{'word': '유니폼', 'start_idx': 15, 'end_idx': 17, 'type': 'EQP'}</t>
  </si>
  <si>
    <t>{'word': '스키', 'start_idx': 0, 'end_idx': 1, 'type': 'EQP'}</t>
  </si>
  <si>
    <t>{'word': '바인딩', 'start_idx': 17, 'end_idx': 19, 'type': 'EQP'}</t>
  </si>
  <si>
    <t>1926년에는 미국에서 스포츠의 급성장을 타고 큰 도시에 뉴욕 레인저스, 디트로이트 쿠거스, 시카고 블랙 호크스 등 구단이 창단되면서 10개팀으로 확대되었다.</t>
  </si>
  <si>
    <t>{'word': '뉴욕 레인저스', 'start_idx': 32, 'end_idx': 38, 'type': 'ORG'}</t>
  </si>
  <si>
    <t>{'word': '디트로이트 쿠거스,', 'start_idx': 41, 'end_idx': 50, 'type': 'ORG'}</t>
  </si>
  <si>
    <t>용상에서는 최종 자세 전에 심봉이 가슴에 닿지 않아야 한다.</t>
  </si>
  <si>
    <t>{'word': '심봉', 'start_idx': 15, 'end_idx': 16, 'type': 'EQP'}</t>
  </si>
  <si>
    <t>많은 스키장 시설들이 눈이 내리지 않는 상황에서도 스키를 즐길 수 있도록 인공설 제조 장비를 운용한다.</t>
  </si>
  <si>
    <t>{'word': '스키', 'start_idx': 28, 'end_idx': 29, 'type': 'SPR'}</t>
  </si>
  <si>
    <t>{'word': '인공설 제조 장비', 'start_idx': 41, 'end_idx': 49, 'type': 'EQP'}</t>
  </si>
  <si>
    <t>사격(射擊)은 사출무기를 다루는 기술로서, 화살, 탄환 따위의 사출물을 목표물에 정확히 명중시키는 기술이다.</t>
  </si>
  <si>
    <t>{'word': '탄환', 'start_idx': 28, 'end_idx': 29, 'type': 'EQP'}</t>
  </si>
  <si>
    <t>대한민국에 처음으로 아이스하키가 소개된 것은 지난 1928년으로, 일본 도쿄 제국대학의 아이스하키팀이 만주에서 경기를 마치고 돌아가는 길에 용산 철도국의 초청으로 서울에 들러 국우회 아이스 링크에서 시범경기를 가지면서였다.</t>
  </si>
  <si>
    <t>{'word': '아이스하키', 'start_idx': 11, 'end_idx': 15, 'type': 'ORG'}</t>
  </si>
  <si>
    <t>{'word': '1928년', 'start_idx': 28, 'end_idx': 32, 'type': 'DAT'}</t>
  </si>
  <si>
    <t>사이클로크로스 경로는 최소 2.5km에서 최대 3.5km의 길이의 순환 경로가 되어야 하며, 총 경로 길이 중 적어도 90%는 자전거를 타고 지나갈 수 있도록 한다.</t>
  </si>
  <si>
    <t>{'word': '사이클로크로스 경로', 'start_idx': 0, 'end_idx': 9, 'type': 'LOC'}</t>
  </si>
  <si>
    <t>{'word': '순환 경로', 'start_idx': 37, 'end_idx': 41, 'type': 'LOC'}</t>
  </si>
  <si>
    <t>아이스하키의 기원에 대해서는 그 밖에 스코틀랜드의 니시, 혹은 아일랜드의 허링이라는 설도 있다.</t>
  </si>
  <si>
    <t>{'word': '니시', 'start_idx': 28, 'end_idx': 29, 'type': 'SPR'}</t>
  </si>
  <si>
    <t>월평양궁장은 대전광역시 서구에 있다.</t>
  </si>
  <si>
    <t>{'word': '월평양궁장', 'start_idx': 0, 'end_idx': 4, 'type': 'LOC'}</t>
  </si>
  <si>
    <t>{'word': '대전광역시 서구', 'start_idx': 7, 'end_idx': 14, 'type': 'LOC'}</t>
  </si>
  <si>
    <t># 아이스하키의 기원은 영국 및 네덜란드에서 실시되고 있던 밴디(bandy)라는 경기이다. 밴디에서 사용되었던 링크는 필드하키처럼 넓었으며 경기자수도 팀당 11명으로 필드하키를 그대로 빙상으로 옮긴 것에 가까웠다.</t>
  </si>
  <si>
    <t>{'word': '밴디', 'start_idx': 33, 'end_idx': 34, 'type': 'SPR'}</t>
  </si>
  <si>
    <t>{'word': 'bandy', 'start_idx': 36, 'end_idx': 40, 'type': 'SPR'}</t>
  </si>
  <si>
    <t>이러한 정의는 보트나 요트를 조종할 수 있는 조종면허시험이나 '요트및동력보트해상보험'같은 보험등 법률용어로 언급되고있는것이 관례이다.</t>
  </si>
  <si>
    <t>{'word': '조종면허시험', 'start_idx': 25, 'end_idx': 30, 'type': 'POH'}</t>
  </si>
  <si>
    <t>{'word': '요트및동력보트해상보험', 'start_idx': 35, 'end_idx': 45, 'type': 'POH'}</t>
  </si>
  <si>
    <t># 특히 바깥다리걸기와 안다리걸기는 유도에도 존재하는 발기술로서 유도와 씨름은 부분적으로 일치한다. 때문에 씨름을 잘하는 사람은 유도 역시 잘하게 되어 있으며 공격자세만 약간 다를 뿐 그 원리는 동일하다.</t>
  </si>
  <si>
    <t>{'word': '유도', 'start_idx': 72, 'end_idx': 73, 'type': 'SPR'}</t>
  </si>
  <si>
    <t>{'word': '바깥다리걸기', 'start_idx': 5, 'end_idx': 10, 'type': 'POH'}</t>
  </si>
  <si>
    <t>물론, 공인 9단이 착용하는 빨간띠는 일반 띠보다 2배 정도 굵다.</t>
  </si>
  <si>
    <t>{'word': '일반 띠', 'start_idx': 21, 'end_idx': 24, 'type': 'EQP'}</t>
  </si>
  <si>
    <t>{'word': '빨간띠', 'start_idx': 16, 'end_idx': 18, 'type': 'EQP'}</t>
  </si>
  <si>
    <t>쇼트트랙은 키가 작은 한국 선수들에게 유리한 운동이다.</t>
  </si>
  <si>
    <t>{'word': '한국 선수', 'start_idx': 12, 'end_idx': 16, 'type': 'ORG'}</t>
  </si>
  <si>
    <t>때문에 씨름을 잘하는 사람은 유도 역시 잘하게 되어 있으며 공격자세만 약간 다를 뿐 그 원리는 동일하다.</t>
  </si>
  <si>
    <t>{'word': '유도', 'start_idx': 16, 'end_idx': 17, 'type': 'SPR'}</t>
  </si>
  <si>
    <t>알파인 스키는 유럽, 북아메리카, 오스트레일리아, 뉴질랜드, 남아메리카 안데스, 그리고 동아시아 등지에서 눈과 슬로프, 관광객의 조합이 갖춰진 곳이라면 어디에서나 인기 있는 스포츠로 자리 잡고 있다.</t>
  </si>
  <si>
    <t>{'word': '동아시아', 'start_idx': 49, 'end_idx': 52, 'type': 'LOC'}</t>
  </si>
  <si>
    <t># 슈퍼대회전 경기는 대회전과 거의 흡사하지만, 기문이 좀 더 넉넉한 거리로 설치되어 있고 경사는 좀더 가파르며 점프지점이 두 곳 있다.약 20미터는 날아가는것 같은데, 이 두 번의 점프에서 안전하게 뜨고 착지하는 것이 중요하다.</t>
  </si>
  <si>
    <t>{'word': '슈퍼대회전', 'start_idx': 2, 'end_idx': 6, 'type': 'SPR'}</t>
  </si>
  <si>
    <t>{'word': '대회전', 'start_idx': 12, 'end_idx': 14, 'type': 'SPR'}</t>
  </si>
  <si>
    <t>그러던 중 1992년 10월 30일 사단법인 한국민속씨름 협회로 다시 변경을 오늘에 이르고 있다.</t>
  </si>
  <si>
    <t>{'word': '1992년 10월 30일', 'start_idx': 6, 'end_idx': 18, 'type': 'DAT'}</t>
  </si>
  <si>
    <t>{'word': '한국민속씨름 협회', 'start_idx': 25, 'end_idx': 33, 'type': 'ORG'}</t>
  </si>
  <si>
    <t>김수녕 기념 양궁장은 충청북도 청주시에 있다.</t>
  </si>
  <si>
    <t>{'word': '김수녕 기념 양궁장', 'start_idx': 0, 'end_idx': 9, 'type': 'LOC'}</t>
  </si>
  <si>
    <t>{'word': '충청북도 청주시', 'start_idx': 12, 'end_idx': 19, 'type': 'LOC'}</t>
  </si>
  <si>
    <t>인상에서는 바벨이 선수 다리 앞에 수평으로 놓인 상태에서 손바닥이 밑으로 향하도록 해 바벨을 잡고 다리를 벌리거나 구부리면서 한 번의 동작으로 바닥에서 머리 위까지 양팔이 쭉 펴지도록 들어 올려야 한다.</t>
  </si>
  <si>
    <t>{'word': '인상', 'start_idx': 0, 'end_idx': 1, 'type': 'SPR'}</t>
  </si>
  <si>
    <t>{'word': '바벨', 'start_idx': 48, 'end_idx': 49, 'type': 'EQP'}</t>
  </si>
  <si>
    <t>각 구단당 82경기의 정규시즌을 마치면 플레이오프가 2개월간 벌어지는데, 이스턴콘퍼런스와 웨스턴콘퍼런스에서 각각 상위 8개팀씩 총 16개팀이 올라 처음부터 7전 4선승제의 라운드를 3회 실시한다.</t>
  </si>
  <si>
    <t>{'word': '이스턴콘퍼런스', 'start_idx': 41, 'end_idx': 47, 'type': 'ORG'}</t>
  </si>
  <si>
    <t>{'word': '웨스턴콘퍼런스', 'start_idx': 50, 'end_idx': 56, 'type': 'ORG'}</t>
  </si>
  <si>
    <t>가늠자와 가늠쇠를 일치시켜 총신의 방향을 정렬하고, 그것을 표적의 방향에 일치시키는데 이것을 조준선 정렬이라고 한다.</t>
  </si>
  <si>
    <t>{'word': '가늠자', 'start_idx': 0, 'end_idx': 2, 'type': 'POH'}</t>
  </si>
  <si>
    <t>{'word': '가늠쇠', 'start_idx': 5, 'end_idx': 7, 'type': 'POH'}</t>
  </si>
  <si>
    <t>스키의 역사로 스웨덴의 습원에서 기원전 25세기경의 스키가 발견된 바 있다.</t>
  </si>
  <si>
    <t>{'word': '기원전 25세기경', 'start_idx': 18, 'end_idx': 26, 'type': 'DAT'}</t>
  </si>
  <si>
    <t>생리적 기능의 활성화로 스키운동의 시작과 함께 교감신경이 긴장하게 되고 신경계의 호르몬과 아드레날린이 분비되어 심폐기능을 촉진시키고 근육내의 모세혈관을 확장시켜 혈액의 흐름이 증대되어 근육운동을 원활하게 한다.</t>
  </si>
  <si>
    <t>{'word': '스키', 'start_idx': 13, 'end_idx': 14, 'type': 'SPR'}</t>
  </si>
  <si>
    <t>{'word': '아드레날린', 'start_idx': 50, 'end_idx': 54, 'type': 'POH'}</t>
  </si>
  <si>
    <t>아시아리그 아이스하키(Asia League Ice Hockey, ALIH)는 대한민국과 일본, 중화인민공화국 등의 동아시아 지역을 기반으로 한 아시아 최초의 프로 통합 아이스하키 리그이다.</t>
  </si>
  <si>
    <t>{'word': '아시아리그 아이스하키', 'start_idx': 0, 'end_idx': 10, 'type': 'ORG'}</t>
  </si>
  <si>
    <t>{'word': '대한민국', 'start_idx': 43, 'end_idx': 46, 'type': 'ORG'}</t>
  </si>
  <si>
    <t>역도 경기가 근대적인 형태를 갖추게 된 것은 19세기의 일이며, 올림픽에서는 1920년 제7회 앤트워프 대회 때부터 독립된 경기로 치러지게 되었다.</t>
  </si>
  <si>
    <t>{'word': '1920년', 'start_idx': 43, 'end_idx': 47, 'type': 'DAT'}</t>
  </si>
  <si>
    <t>#스키는 자연과 직접 어울려서 하는 운동이기 때문에 많은 산소를 마실 수 있다. 신경기능의 향상으로 운동기능의 효율성과 일관성이 증가한다.</t>
  </si>
  <si>
    <t>{'word': '스키', 'start_idx': 1, 'end_idx': 2, 'type': 'SPR'}</t>
  </si>
  <si>
    <t>{'word': '신경기능', 'start_idx': 45, 'end_idx': 48, 'type': 'POH'}</t>
  </si>
  <si>
    <t>엉덩배지기는 상대가 무거워 배지기로 넘기지 못할 때, 상대방을 들면서 엉덩이에 밀착시켜 넘겨 버리는 기술이다.</t>
  </si>
  <si>
    <t>{'word': '엉덩배지기', 'start_idx': 0, 'end_idx': 4, 'type': 'POH'}</t>
  </si>
  <si>
    <t>{'word': '배지기', 'start_idx': 15, 'end_idx': 17, 'type': 'POH'}</t>
  </si>
  <si>
    <t>용상에서는 선수는 적절한 때에 원래 자세로 돌아와 양발을 동일선상에 놓고 몸통과 바벨을 수평으로 평행이 되게 한다.</t>
  </si>
  <si>
    <t>{'word': '바벨', 'start_idx': 45, 'end_idx': 46, 'type': 'EQP'}</t>
  </si>
  <si>
    <t>격발은 방아쇠를 당기는 동작이다.</t>
  </si>
  <si>
    <t>{'word': '격발', 'start_idx': 0, 'end_idx': 1, 'type': 'POH'}</t>
  </si>
  <si>
    <t>{'word': '방아쇠', 'start_idx': 4, 'end_idx': 6, 'type': 'POH'}</t>
  </si>
  <si>
    <t>이후 제1차 세계대전으로 중단되었다가 전후인 1917년 미국•캐나다팀인 몬트리올 캐나디언스, 몬트리올 원더러스, 오타와 세너터스, 퀘벡 불도그스 4개팀이 정식으로 연맹을 결성하였다.</t>
  </si>
  <si>
    <t>{'word': '몬트리올 캐나디언스', 'start_idx': 40, 'end_idx': 49, 'type': 'ORG'}</t>
  </si>
  <si>
    <t>{'word': '몬트리올 원더러스', 'start_idx': 52, 'end_idx': 60, 'type': 'ORG'}</t>
  </si>
  <si>
    <t>그러다 15세기 이후로 '실훔'에서 '실홈'을 거쳐 '씨름'이 되었다.</t>
  </si>
  <si>
    <t>{'word': '실훔', 'start_idx': 14, 'end_idx': 15, 'type': 'SPR'}</t>
  </si>
  <si>
    <t>{'word': '씨름', 'start_idx': 30, 'end_idx': 31, 'type': 'SPR'}</t>
  </si>
  <si>
    <t># 내셔널 하키 리그는 1907년 북아메리카아이스하키연합(National Hockey Association)과 태평양연안아이스하키연합(Pacific Coast Hockey Association)이 탄생하여 1914년 양 리그의 챔피언이 플레이오프를 통해 우승자를 가린 것이 시초였다. 이후 제1차 세계대전으로 중단되었다가 전후인 1917년 미국•캐나다팀인 몬트리올 캐나디언스, 몬트리올 원더러스, 오타와 세너터스, 퀘벡 불도그스 4개팀이 정식으로 연맹을 결성하였다.</t>
  </si>
  <si>
    <t>{'word': '내셔널 하키 리그', 'start_idx': 2, 'end_idx': 10, 'type': 'POH'}</t>
  </si>
  <si>
    <t>{'word': '북아메리카아이스하키연합', 'start_idx': 19, 'end_idx': 30, 'type': 'ORG'}</t>
  </si>
  <si>
    <t>이 시기에 오프사이드, 페널티 샷(penalty shot) 등 새로운 규정이 생기면서 리그가 점차 체계를 갖추기 시작하였고, 1940년에는 TV 중계를 실시하였다.</t>
  </si>
  <si>
    <t>{'word': '오프사이드', 'start_idx': 6, 'end_idx': 10, 'type': 'POH'}</t>
  </si>
  <si>
    <t>{'word': '1940년', 'start_idx': 70, 'end_idx': 74, 'type': 'DAT'}</t>
  </si>
  <si>
    <t>1419년 6월 15일에는 태종과 세종이 각력희를 강변에 보았다고 전한다.</t>
  </si>
  <si>
    <t>{'word': '각력희', 'start_idx': 23, 'end_idx': 25, 'type': 'PER'}</t>
  </si>
  <si>
    <t>{'word': '1419년 6월 15일', 'start_idx': 0, 'end_idx': 11, 'type': 'DAT'}</t>
  </si>
  <si>
    <t>대회전 경기 활강 경기와 회전 경기가 혼합된 경기이다.</t>
  </si>
  <si>
    <t>{'word': '대회전 경기', 'start_idx': 0, 'end_idx': 5, 'type': 'SPR'}</t>
  </si>
  <si>
    <t>{'word': '회전 경기', 'start_idx': 14, 'end_idx': 18, 'type': 'SPR'}</t>
  </si>
  <si>
    <t># 씨름은 그 긴 역사만큼이나 다양한 이름이 있는데, 주로 각저(角抵)·각희(角戱)·상박으로 불렸다고 한다. 그러다 15세기 이후로 '실훔'에서 '실홈'을 거쳐 '씨름'이 되었다.</t>
  </si>
  <si>
    <t>{'word': '씨름', 'start_idx': 2, 'end_idx': 3, 'type': 'SPR'}</t>
  </si>
  <si>
    <t>{'word': '실홈', 'start_idx': 82, 'end_idx': 83, 'type': 'SPR'}</t>
  </si>
  <si>
    <t>대한민국에서는 대한아이스하키협회가 아이스하키 관련 행정을 담당하고 있다.</t>
  </si>
  <si>
    <t>{'word': '대한민국', 'start_idx': 0, 'end_idx': 3, 'type': 'LOC'}</t>
  </si>
  <si>
    <t>{'word': '대한아이스하키협회', 'start_idx': 8, 'end_idx': 16, 'type': 'ORG'}</t>
  </si>
  <si>
    <t>조준선이 제대로 정렬하지 않으면, 사수가 보는 총구의 방향과 다른 위치에 탄착이 형성되게 된다.</t>
  </si>
  <si>
    <t>{'word': '조준선', 'start_idx': 0, 'end_idx': 2, 'type': 'POH'}</t>
  </si>
  <si>
    <t>{'word': '총구', 'start_idx': 26, 'end_idx': 27, 'type': 'EQP'}</t>
  </si>
  <si>
    <t>1902년 프랑스 다니엘 구소가 첫 사이클로크로스 경기를 창안해서 프랑스 국가 선수권 대회를 열었다.</t>
  </si>
  <si>
    <t>{'word': '다니엘 구소', 'start_idx': 10, 'end_idx': 15, 'type': 'PER'}</t>
  </si>
  <si>
    <t>{'word': '사이클로크로스', 'start_idx': 20, 'end_idx': 26, 'type': 'SPR'}</t>
  </si>
  <si>
    <t>김홍도의 씨름도는 당시 조선에서는 씨름이 매우 대중적인 경기였음을 알려준다.</t>
  </si>
  <si>
    <t>{'word': '김홍도', 'start_idx': 0, 'end_idx': 2, 'type': 'PER'}</t>
  </si>
  <si>
    <t>{'word': '씨름도', 'start_idx': 5, 'end_idx': 7, 'type': 'POH'}</t>
  </si>
  <si>
    <t>‘한국 쇼트트랙의 선구자’로 불리는 알베르빌-릴레함메르 동계올림픽 금메달리스트 김기훈이 처음 활용한 ‘호리병 주법’은 직선주로에서 인코스 쪽으로 바짝 들어왔다가 다시 바깥쪽으로 빠지는 주법이다.</t>
  </si>
  <si>
    <t>{'word': '김기훈', 'start_idx': 44, 'end_idx': 46, 'type': 'PER'}</t>
  </si>
  <si>
    <t>{'word': '쇼트트랙', 'start_idx': 4, 'end_idx': 7, 'type': 'SPR'}</t>
  </si>
  <si>
    <t>활강 경기는 남자는 2~2.5km, 여자는 2km 이내의 코스를 달려 시간을 다투는 경기며 코스의 표고차는 남자 800m~1000m, 여자 500~700m이다.</t>
  </si>
  <si>
    <t>{'word': '활강 경기', 'start_idx': 0, 'end_idx': 4, 'type': 'SPR'}</t>
  </si>
  <si>
    <t>{'word': '코스', 'start_idx': 51, 'end_idx': 52, 'type': 'EQP'}</t>
  </si>
  <si>
    <t>사이클크로스 경기는 자전거를 잘 다루는 능력과 적절한 체력을 배울 수 있게끔 한다.</t>
  </si>
  <si>
    <t>{'word': '사이클크로스', 'start_idx': 0, 'end_idx': 5, 'type': 'SPR'}</t>
  </si>
  <si>
    <t>{'word': '자전거', 'start_idx': 11, 'end_idx': 13, 'type': 'EQP'}</t>
  </si>
  <si>
    <t>역도는 체급이 있는 종목 중, 유일하게 격투기가 아니다.</t>
  </si>
  <si>
    <t>{'word': '격투기', 'start_idx': 22, 'end_idx': 24, 'type': 'SPR'}</t>
  </si>
  <si>
    <t>총기를 사용하는 상황에 따라 다소 달라질 수는 있으나 권총, 소총과 같은 소화기의 사격은 대체로 다음과 같은 과정을 거친다고 할 수 있다.</t>
  </si>
  <si>
    <t>{'word': '권총', 'start_idx': 30, 'end_idx': 31, 'type': 'EQP'}</t>
  </si>
  <si>
    <t>{'word': '소화기', 'start_idx': 41, 'end_idx': 43, 'type': 'EQP'}</t>
  </si>
  <si>
    <t>슈퍼 대회전과 활강 코스에는 턴이 적고 일부 구간에 넓은 게이트가 설치되며, 이 유형의 경기에서 슬로프를 지나치는 선수의 속도는 시속 100km에 이른다.</t>
  </si>
  <si>
    <t>{'word': '슈퍼 대회전', 'start_idx': 0, 'end_idx': 5, 'type': 'SPR'}</t>
  </si>
  <si>
    <t>{'word': '게이트', 'start_idx': 32, 'end_idx': 34, 'type': 'EQP'}</t>
  </si>
  <si>
    <t>가늠자와 가늠쇠를 일치시켜 조준선을 정렬하고 그 조준선을 목표물 위에 일치시킨다.</t>
  </si>
  <si>
    <t>{'word': '가늠자', 'start_idx': 0, 'end_idx': 2, 'type': 'EQP'}</t>
  </si>
  <si>
    <t>{'word': '가늠쇠', 'start_idx': 5, 'end_idx': 7, 'type': 'EQP'}</t>
  </si>
  <si>
    <t>요트(Yacht)는 구조가 간단하면서도 경쾌하고 모양이나 크기에 따라 약간 다르지만 속도가 매우 빠른 배이다.</t>
  </si>
  <si>
    <t>{'word': 'Yacht', 'start_idx': 3, 'end_idx': 7, 'type': 'SPR'}</t>
  </si>
  <si>
    <t>세계선수권대회는 1924년 프랑스 샤모니에서 제 2 회 대회가 개최되었으며 캐나다가 우승하였다.</t>
  </si>
  <si>
    <t>{'word': '프랑스 샤모니', 'start_idx': 15, 'end_idx': 21, 'type': 'LOC'}</t>
  </si>
  <si>
    <t>{'word': '캐나다', 'start_idx': 42, 'end_idx': 44, 'type': 'LOC'}</t>
  </si>
  <si>
    <t>용상에서는 클린 동작에서 바벨이 선수 다리 앞에 수평으로 놓인 상태에서 손바닥이 밑으로 향하도록 해 바벨을 잡고 다리를 벌리거나 구부리면서 한 번의 동작으로 바닥에서 어깨까지 끌어올린다.</t>
  </si>
  <si>
    <t>{'word': '바벨', 'start_idx': 56, 'end_idx': 57, 'type': 'EQP'}</t>
  </si>
  <si>
    <t>스탠리컵 대회라고도 불리는 NHL은 몬트리올 캐나디언즈, 몬트리올 원더러즈, 오타와 세네터즈, 토론토 에리어즈 4개팀으로 출발하여, 2020년 기준으로는 총 31개 구단으로 발전되었다. 오늘날 NFL, MLB, NBA와 함께 북미에서는 가장 인기있는 4대 메이저 스포츠 리그 중의 하나이다.</t>
  </si>
  <si>
    <t>{'word': '스탠리컵 대회', 'start_idx': 0, 'end_idx': 6, 'type': 'POH'}</t>
  </si>
  <si>
    <t>{'word': 'NHL', 'start_idx': 15, 'end_idx': 17, 'type': 'POH'}</t>
  </si>
  <si>
    <t>동부 컨퍼런스는 애틀랜틱 디비전(Atlantic Division)에 보스턴 브루인스, 버펄로 세이버스, 디트로이트 레드 윙스, 플로리다 팬더스, 카나디앵 드 몽레알, 오타와 세너터스, 탬파베이 라이트닝, 토론토 메이플 립스; 메트로폴리탄 디비전(Metropolitan Division)에 캐롤라이나 허리케인스, 콜럼버스 블루 재키츠, 뉴저지 데블스, 뉴욕 아이슬랜더스, 뉴욕 레인저스, 필라델피아 플라이어스, 피츠버그 펭귄스, 워싱턴 캐피털스가 속해 있다.</t>
  </si>
  <si>
    <t>{'word': '애틀랜틱 디비전', 'start_idx': 9, 'end_idx': 16, 'type': 'ORG'}</t>
  </si>
  <si>
    <t>{'word': '버펄로 세이버스', 'start_idx': 48, 'end_idx': 55, 'type': 'ORG'}</t>
  </si>
  <si>
    <t>그 후 스키는 스위스에서 처음으로 회전경기가 열렸으며, 1924년 제1회 동계 올림픽 때부터 노르딕 경기가, 1936년 동계 올림픽에서는 알파인 경기가 포함되었다.</t>
  </si>
  <si>
    <t>{'word': '회전경기', 'start_idx': 19, 'end_idx': 22, 'type': 'SPR'}</t>
  </si>
  <si>
    <t>{'word': '스위스', 'start_idx': 8, 'end_idx': 10, 'type': 'LOC'}</t>
  </si>
  <si>
    <t>씨름에서 허리 기술에는 배지기, 오른 배지기, 맞배지기, 엉덩 배지기, 돌림 배지기, 들배지기, 들어 놓기, 돌려 뿌리기, 공중 던지기, 허리 꺾기, 밀어 던지기, 차 돌리기, 잡채기, 들어 잡채기, 옆채기, 업어 던지기, 어깨 넘어 던지기, 자반 뒤지기 등이 있다.</t>
  </si>
  <si>
    <t>{'word': '옆채기', 'start_idx': 112, 'end_idx': 114, 'type': 'POH'}</t>
  </si>
  <si>
    <t>상대방이 안다리 걸기를 풀면 되치기가 가능하다.</t>
  </si>
  <si>
    <t>{'word': '안다리 걸기', 'start_idx': 5, 'end_idx': 10, 'type': 'POH'}</t>
  </si>
  <si>
    <t>{'word': '되치기', 'start_idx': 16, 'end_idx': 18, 'type': 'POH'}</t>
  </si>
  <si>
    <t>아이스하키의 기원은 영국 및 네덜란드에서 실시되고 있던 밴디(bandy)라는 경기이다.</t>
  </si>
  <si>
    <t>{'word': '밴디', 'start_idx': 31, 'end_idx': 32, 'type': 'SPR'}</t>
  </si>
  <si>
    <t>1430년 12월에는 상총이라는 스님이 씨름을 하다가 상대방이 죽게 되었는데, 나라에서는 관대하게 죄를 묻지 않았다고 한다.</t>
  </si>
  <si>
    <t>{'word': '1430년 12월', 'start_idx': 0, 'end_idx': 8, 'type': 'DAT'}</t>
  </si>
  <si>
    <t>{'word': '상총', 'start_idx': 12, 'end_idx': 13, 'type': 'PER'}</t>
  </si>
  <si>
    <t>예천 진호 국제양궁장은 경상북도 예천군에 있다.</t>
  </si>
  <si>
    <t>{'word': '예천 진호 국제양궁장', 'start_idx': 0, 'end_idx': 10, 'type': 'LOC'}</t>
  </si>
  <si>
    <t>{'word': '경상북도 예천군', 'start_idx': 13, 'end_idx': 20, 'type': 'LOC'}</t>
  </si>
  <si>
    <t>초기의 포는 크기가 비교적 컸지만, 점차로 소형의 것이 만들어져 수포를 거쳐 소총, 권총이 등장하게 되었다.</t>
  </si>
  <si>
    <t>{'word': '수포', 'start_idx': 36, 'end_idx': 37, 'type': 'POH'}</t>
  </si>
  <si>
    <t>{'word': '소총', 'start_idx': 43, 'end_idx': 44, 'type': 'POH'}</t>
  </si>
  <si>
    <t>아시아 버전의 NHL(북미아이스하키리그)라고도 불리는 아시아리그 아이스하키는 지난 2003년 출범하여 지금까지 이어져 오고 있다.</t>
  </si>
  <si>
    <t>{'word': '북미아이스하키리그', 'start_idx': 12, 'end_idx': 20, 'type': 'ORG'}</t>
  </si>
  <si>
    <t>{'word': '2003년', 'start_idx': 46, 'end_idx': 50, 'type': 'DAT'}</t>
  </si>
  <si>
    <t>역도 경기는 고대 그리스 시대 이전부터 있었던 것으로 여겨진다.</t>
  </si>
  <si>
    <t>{'word': '고대 그리스', 'start_idx': 7, 'end_idx': 12, 'type': 'DAT'}</t>
  </si>
  <si>
    <t>한국민속씨름 협회는 이후 1985년 10월 6일 재정적 어려움을 겪고 있던 대한씨름협회와 통합하여 한국민속씨름 협회와 허완구 회장이 통합회장을 맡아 조산민속씨름 협회클럽클럽을 운영하고 프로씨름은 ‘민속씨름 햗위원회클럽’라는 이름으로 대회를 개최하였다.</t>
  </si>
  <si>
    <t>{'word': '프로씨름', 'start_idx': 103, 'end_idx': 106, 'type': 'SPR'}</t>
  </si>
  <si>
    <t>{'word': '민속씨름 햗위원회클럽', 'start_idx': 110, 'end_idx': 120, 'type': 'ORG'}</t>
  </si>
  <si>
    <t># 바이애슬론 경기는 크로스컨트리 경기를 하면서(10-20km코스) 곳곳에 설치된 목표물을 선 자세와 엎드린 자세로 총을 쏘아 맞히는 경기다. 맞히지 못하면 벌점이 주어지며 시간이 적게 소요된 선수가 승리한다.</t>
  </si>
  <si>
    <t>{'word': '바이애슬론', 'start_idx': 2, 'end_idx': 6, 'type': 'SPR'}</t>
  </si>
  <si>
    <t>{'word': '총', 'start_idx': 65, 'end_idx': 65, 'type': 'EQP'}</t>
  </si>
  <si>
    <t>프로씨름은 1924년 1월 1일 프로씨름 대회와 개최를 위해 창립된 다시 한국민속씨름 협회가 1985년 6월 14일 한국방송공사(KBS)와 공동 주최로 다시 1:10~4:10로 제1회 천하장사씨름대회를 개최하며 우리나라 제2호 프로와 스포츠로 출범하였다.</t>
  </si>
  <si>
    <t>{'word': '한국민속씨름 협회', 'start_idx': 41, 'end_idx': 49, 'type': 'ORG'}</t>
  </si>
  <si>
    <t>{'word': '제1회 천하장사씨름대회', 'start_idx': 99, 'end_idx': 110, 'type': 'POH'}</t>
  </si>
  <si>
    <t>투르 드 프랑스의 창안자인 지오 레피브르 또한 초창기에는 주요 역할을 했다고 한다.</t>
  </si>
  <si>
    <t>{'word': '투르 드 프랑스', 'start_idx': 0, 'end_idx': 7, 'type': 'POH'}</t>
  </si>
  <si>
    <t>{'word': '지오 레피브르', 'start_idx': 15, 'end_idx': 21, 'type': 'PER'}</t>
  </si>
  <si>
    <t>표적 경기 득점은 단식을 기준으로 하는 1,440점을 만점으로 하며, 단식과 복식을 따로따로 계산한다.</t>
  </si>
  <si>
    <t>{'word': '표적 경기', 'start_idx': 0, 'end_idx': 4, 'type': 'SPR'}</t>
  </si>
  <si>
    <t>{'word': '단식', 'start_idx': 39, 'end_idx': 40, 'type': 'POH'}</t>
  </si>
  <si>
    <t># 아이스하키 국제 대회로는 세계선수권대회, 유럽선수권대회, 동계 올림픽이 있다. 1910년 제2회 유럽선수권대회에서 영국이 우승하였다.</t>
  </si>
  <si>
    <t>{'word': '아이스하키 국제 대회', 'start_idx': 2, 'end_idx': 12, 'type': 'POH'}</t>
  </si>
  <si>
    <t>또한 링크 면적을 축소시키고, 그 주변은 일정한 높이의 펜스로 둘러쌌으며, 스틱과 퍽도 개량되어 경기의 전개가 한층 빨라졌다.</t>
  </si>
  <si>
    <t>{'word': '스틱', 'start_idx': 42, 'end_idx': 43, 'type': 'EQP'}</t>
  </si>
  <si>
    <t>{'word': '퍽', 'start_idx': 46, 'end_idx': 46, 'type': 'EQP'}</t>
  </si>
  <si>
    <t>한국계 아이스하키 선수로는 짐 팩과 리처드 박이 있다.</t>
  </si>
  <si>
    <t>{'word': '아이스하키', 'start_idx': 4, 'end_idx': 8, 'type': 'SPR'}</t>
  </si>
  <si>
    <t>{'word': '짐 팩', 'start_idx': 15, 'end_idx': 17, 'type': 'PER'}</t>
  </si>
  <si>
    <t>스키의 종목으로는 알파인 스키와 노르딕 스키, 그리고 바이애슬론 경기 등이 있다.</t>
  </si>
  <si>
    <t>{'word': '바이애슬론', 'start_idx': 30, 'end_idx': 34, 'type': 'SPR'}</t>
  </si>
  <si>
    <t>대회전 경기는 활강 경기의 속도와 회전 경기의 회전 기술을 종합 평가하는 경기며 표고차는 남자 250-400m, 여자 250-350m이다</t>
  </si>
  <si>
    <t>{'word': '활강 경기', 'start_idx': 8, 'end_idx': 12, 'type': 'SPR'}</t>
  </si>
  <si>
    <t>{'word': '회전 경기', 'start_idx': 19, 'end_idx': 23, 'type': 'SPR'}</t>
  </si>
  <si>
    <t>아시아리그 아이스하키 사무국은 일본 동경에 있다.</t>
  </si>
  <si>
    <t>{'word': '아시아리그 아이스하키 사무국', 'start_idx': 0, 'end_idx': 14, 'type': 'ORG'}</t>
  </si>
  <si>
    <t>{'word': '일본 동경', 'start_idx': 17, 'end_idx': 21, 'type': 'LOC'}</t>
  </si>
  <si>
    <t>백제의 씨름에 대한 기록은 백제인이 남긴 기록이 거의 없어 일본인이나 중국인이 쓴 사서를 참조하고 인용하여 쓴 삼국사기 등에서 기록을 찾아봐야 하는데 일본서기에서는 백제 사신이 왜국에 갔을 때 일본 대왕(오오키미)가 연회를 열었고 백제 사신 앞에서 왜인 무술인 둘을 스모하게 하였다는 기록이 있어서 백제에서도 씨름을 했던 것을 유추해 볼 수 있다.</t>
  </si>
  <si>
    <t>{'word': '스모', 'start_idx': 149, 'end_idx': 150, 'type': 'SPR'}</t>
  </si>
  <si>
    <t>{'word': '일본 대왕', 'start_idx': 108, 'end_idx': 112, 'type': 'PER'}</t>
  </si>
  <si>
    <t>일반적으로 모터나 노를 젓는 동력을 주로 사용하여 추진하는 배를 보트(boat) 또는 동력보트라고 한다면 돛을 사용한 풍력을 주로 이용하는 배를 요트라고 정의한다.</t>
  </si>
  <si>
    <t>{'word': '보트', 'start_idx': 36, 'end_idx': 37, 'type': 'POH'}</t>
  </si>
  <si>
    <t>{'word': '동력보트', 'start_idx': 48, 'end_idx': 51, 'type': 'POH'}</t>
  </si>
  <si>
    <t>밴디에서 사용되었던 링크는 필드하키처럼 넓었으며 경기자수도 팀당 11명으로 필드하키를 그대로 빙상으로 옮긴 것에 가까웠다.</t>
  </si>
  <si>
    <t>{'word': '밴디', 'start_idx': 0, 'end_idx': 1, 'type': 'SPR'}</t>
  </si>
  <si>
    <t>{'word': '링크', 'start_idx': 11, 'end_idx': 12, 'type': 'EQP'}</t>
  </si>
  <si>
    <t>아이스하키는 빙구(氷球)라고 부르기도 한다.</t>
  </si>
  <si>
    <t>{'word': '빙구(氷球)', 'start_idx': 7, 'end_idx': 12, 'type': 'SPR'}</t>
  </si>
  <si>
    <t>씨름에서 발기술에는 안다리 걸기, 밭다리 걸기(바깥다리 걸기), 밭다리 후리기(바깥다리 후리기), 밭다리 감아 돌리기, 오금 걸이, 호미 걸이, 낚시 걸이, 뒷발목 걸이, 뒤축걸어 밀기, 발목 걸어 틀기, 앞다리 차기, 모둠 앞무릎 차기, 무릎 대어 돌리기, 연장 걸이, 빗장 걸이, 무릎 틀기, 덧걸이 등이 있다.</t>
  </si>
  <si>
    <t>{'word': '발기술', 'start_idx': 5, 'end_idx': 7, 'type': 'POH'}</t>
  </si>
  <si>
    <t>{'word': '뒤축걸어 밀기', 'start_idx': 96, 'end_idx': 102, 'type': 'POH'}</t>
  </si>
  <si>
    <t>롱트랙 스피드 스케이팅(영어: Long track speed skating, 문화어: 속도빙상(速度氷上)) 또는 빙속(氷速)은 스케이트를 타고 얼음 위를 지쳐 속도로 승부를 겨루는 운동 경기이다.</t>
  </si>
  <si>
    <t>{'word': '롱트랙 스피드 스케이팅', 'start_idx': 0, 'end_idx': 11, 'type': 'SPR'}</t>
  </si>
  <si>
    <t>{'word': '빙속', 'start_idx': 63, 'end_idx': 64, 'type': 'SPR'}</t>
  </si>
  <si>
    <t>다시 말해 활이나 투석기 등의 화기가 발명되기 이전에도 사격은 존재했다고 할 수 있다.</t>
  </si>
  <si>
    <t>{'word': '활', 'start_idx': 6, 'end_idx': 6, 'type': 'POH'}</t>
  </si>
  <si>
    <t>{'word': '사격', 'start_idx': 31, 'end_idx': 32, 'type': 'SPR'}</t>
  </si>
  <si>
    <t>같은 해 경성제국대학과 철도국이 빙구부를 창설하고 시합을 한 것이 한국 최초의 경기로 기록되고 있다. 여자국가대표팀은 1998년 출범하였다.</t>
  </si>
  <si>
    <t>{'word': '경성제국대학과 철도국', 'start_idx': 5, 'end_idx': 15, 'type': 'ORG'}</t>
  </si>
  <si>
    <t>{'word': '빙구', 'start_idx': 18, 'end_idx': 19, 'type': 'SPR'}</t>
  </si>
  <si>
    <t># 콘티넨탈 하키 리그(러시아어: Континентальная Хоккейная Лига, КХЛ, 영어: Kontinental Hockey League, KHL)은 2008년에 러시아 수페르리가를 계승하여 창설된 유라시아의 프로 아이스하키 리그이며 세계에서 내셔널 아이스하키 리그 (NHL) 다음으로 가는 리그이다. 러시아,카자흐스탄,라트비아 팀등이 참여한다.</t>
  </si>
  <si>
    <t>{'word': '콘티넨탈 하키 리그', 'start_idx': 2, 'end_idx': 11, 'type': 'ORG'}</t>
  </si>
  <si>
    <t>{'word': '카자흐스탄', 'start_idx': 182, 'end_idx': 186, 'type': 'LOC'}</t>
  </si>
  <si>
    <t>화기의 형태가 달라지면서 사격술의 형태도 당연히 달라졌고, 소형화된 총기의 등장은 포를 다루는 '포술'이 아닌, 현대적인 사격술의 형태를 만들어냈다.</t>
  </si>
  <si>
    <t>{'word': '사격술', 'start_idx': 68, 'end_idx': 70, 'type': 'POH'}</t>
  </si>
  <si>
    <t>{'word': '포술', 'start_idx': 54, 'end_idx': 55, 'type': 'POH'}</t>
  </si>
  <si>
    <t>쇼트트랙에서 터치를 하지 않거나 또는 심판과 보조 심판에게 터치가 분명하게, 명백하게 보여지지 않는 것은 계주 경기 위반 행위이다.</t>
  </si>
  <si>
    <t>{'word': '계주 경기', 'start_idx': 59, 'end_idx': 63, 'type': 'SPR'}</t>
  </si>
  <si>
    <t>단 역도선수의 벨트 너비가 120mm를 초과해서는 안 된다.</t>
  </si>
  <si>
    <t>{'word': '벨트', 'start_idx': 8, 'end_idx': 9, 'type': 'EQP'}</t>
  </si>
  <si>
    <t># 원판은 중량과 색상이 정해져 있다. 25kg은 적색, 20kg은 청색, 15kg은 노란색, 10kg은 초록색, 5kg은 백색, 2.5kg은 적색, 2kg은 청색, 1kg은 초록색, 0.5kg은 백색이다.</t>
  </si>
  <si>
    <t>{'word': '원판', 'start_idx': 2, 'end_idx': 3, 'type': 'EQP'}</t>
  </si>
  <si>
    <t>{'word': '적색', 'start_idx': 28, 'end_idx': 29, 'type': 'POH'}</t>
  </si>
  <si>
    <t>NHL은 크게 동부 콘퍼런스와 서부 콘퍼런스로 나뉜다.</t>
  </si>
  <si>
    <t>{'word': 'NHL', 'start_idx': 0, 'end_idx': 2, 'type': 'ORG'}</t>
  </si>
  <si>
    <t>{'word': '동부 콘퍼런스', 'start_idx': 8, 'end_idx': 14, 'type': 'ORG'}</t>
  </si>
  <si>
    <t>용상은 제1동작인 클린과 제2동작인 저크로 이루어진다.</t>
  </si>
  <si>
    <t>{'word': '클린', 'start_idx': 10, 'end_idx': 11, 'type': 'POH'}</t>
  </si>
  <si>
    <t>{'word': '저크', 'start_idx': 20, 'end_idx': 21, 'type': 'POH'}</t>
  </si>
  <si>
    <t>자반 뒤지기는 &amp;quot;씨름의 꽃&amp;quot; 이라고도 불리는, 정교하고 멋진 기술이다.</t>
  </si>
  <si>
    <t>{'word': '자반 뒤지기', 'start_idx': 0, 'end_idx': 5, 'type': 'POH'}</t>
  </si>
  <si>
    <t>{'word': '씨름', 'start_idx': 9, 'end_idx': 10, 'type': 'SPR'}</t>
  </si>
  <si>
    <t>4세기 무렵에 지어진 것으로 추정하는 만주의 고구려 고분 각저총과 5세기 무렵에 지어진 것으로 보는 장천 1호 무덤에는 씨름을 하는 모습을 묘사한 그림이 있다.</t>
  </si>
  <si>
    <t>{'word': '장천 1호 무덤', 'start_idx': 56, 'end_idx': 63, 'type': 'POH'}</t>
  </si>
  <si>
    <t>{'word': '4세기', 'start_idx': 0, 'end_idx': 2, 'type': 'DAT'}</t>
  </si>
  <si>
    <t>특히 바깥다리걸기와 안다리걸기는 유도에도 존재하는 발기술로서 유도와 씨름은 부분적으로 일치한다.</t>
  </si>
  <si>
    <t>{'word': '유도', 'start_idx': 34, 'end_idx': 35, 'type': 'SPR'}</t>
  </si>
  <si>
    <t>{'word': '바깥다리걸기', 'start_idx': 3, 'end_idx': 8, 'type': 'POH'}</t>
  </si>
  <si>
    <t># 크로스컨트리 경기는 개인 경기와 릴레이가 있으며, 개인 경기는 평지·오르막길·내리막길이 1/3씩 만들어져 있는데, 남자 15km, 30km, 50km, 여자 5km, 10km, 20km가 있다. 종목별로 스키를 일자로만 움직일수 있는 '클래식주법'경기와 스케이트타는 모양으로 스키를 타는 '프리스타일주법'의 두가지 경기가 열린다.</t>
  </si>
  <si>
    <t>{'word': '크로스컨트리', 'start_idx': 2, 'end_idx': 7, 'type': 'SPR'}</t>
  </si>
  <si>
    <t>{'word': '클래식주법', 'start_idx': 134, 'end_idx': 138, 'type': 'SPR'}</t>
  </si>
  <si>
    <t>화약의 발명으로 인한 화기가 등장하기 이전에도, '무언가를 던져 먼 곳의 목표물을 맞힌다'는 행위는 존재했다.</t>
  </si>
  <si>
    <t>{'word': '화기', 'start_idx': 12, 'end_idx': 13, 'type': 'EQP'}</t>
  </si>
  <si>
    <t>{'word': '화약', 'start_idx': 0, 'end_idx': 1, 'type': 'POH'}</t>
  </si>
  <si>
    <t>그러므로 소화기처럼 정밀하게 조준하지 않고, 대략의 탄착점을 형성한 후 짧은 시간에 그 위치에 매우 많은 탄환을 발사하는 식으로 정밀 조준이 되지 않는 단점을 보완한다.</t>
  </si>
  <si>
    <t>{'word': '소화기', 'start_idx': 5, 'end_idx': 7, 'type': 'EQP'}</t>
  </si>
  <si>
    <t>{'word': '탄환', 'start_idx': 59, 'end_idx': 60, 'type': 'EQP'}</t>
  </si>
  <si>
    <t>호미걸이는 상대 선수를 당겨 들어올렸을 때 상대방 오른쪽 발목이 자신의 두 다리 사이로 들어왔을 경우, 자기의 무게 중심을 왼쪽에 두고, 오른쪽 발뒤꿈치목으로 상대방의 오른쪽 발목을 걸어당기며 밀어넘어뜨리는 기술이다.</t>
  </si>
  <si>
    <t>{'word': '호미걸이', 'start_idx': 0, 'end_idx': 3, 'type': 'POH'}</t>
  </si>
  <si>
    <t>{'word': '발뒤꿈치목', 'start_idx': 81, 'end_idx': 85, 'type': 'POH'}</t>
  </si>
  <si>
    <t>기관총과 같은 중화기의 경우 다수의 적을 한꺼번에 무력화시키거나 아군이 이동할 때 탄막을 형성하여 보호하는 등 사용상에서는 정밀 조준을 요하지 않는다.</t>
  </si>
  <si>
    <t>{'word': '중화기', 'start_idx': 8, 'end_idx': 10, 'type': 'EQP'}</t>
  </si>
  <si>
    <t>{'word': '기관총', 'start_idx': 0, 'end_idx': 2, 'type': 'EQP'}</t>
  </si>
  <si>
    <t># 대회전 경기 활강 경기와 회전 경기가 혼합된 경기이다. 코스의 표고차는 남자는 400m 이상, 여자는 300m 이상이고 폭은 30m 이상이 되어야 한다.</t>
  </si>
  <si>
    <t>{'word': '회전 경기', 'start_idx': 16, 'end_idx': 20, 'type': 'SPR'}</t>
  </si>
  <si>
    <t>오늘날에도 유럽 지역에서는 스포츠로서의 사격을 말하면 활을 사용하는 것까지 포함하기도 한다.</t>
  </si>
  <si>
    <t>{'word': '유럽', 'start_idx': 6, 'end_idx': 7, 'type': 'LOC'}</t>
  </si>
  <si>
    <t>{'word': '사격', 'start_idx': 22, 'end_idx': 23, 'type': 'SPR'}</t>
  </si>
  <si>
    <t>아마추어씨름은 1870년에 창립된 '조선민속씨름 협회클럽클럽이 전조선씨름대회(1870년)와 전조선씨름 선수권대회(1932년)등과 대회를 개최하면서 근대 스포츠로 발전했다.</t>
  </si>
  <si>
    <t>{'word': '전조선씨름대회', 'start_idx': 35, 'end_idx': 41, 'type': 'POH'}</t>
  </si>
  <si>
    <t>{'word': '전조선씨름 선수권대회', 'start_idx': 51, 'end_idx': 61, 'type': 'POH'}</t>
  </si>
  <si>
    <t>임페딩은 방해, 가로막기 (블로킹), 차징 (공격), 또는 몸의 어느 부분으로 다른 선수를 미는 것, 다른 선수의 코스를 가로 막아서 방해하는 것이다.</t>
  </si>
  <si>
    <t>{'word': '가로막기', 'start_idx': 9, 'end_idx': 12, 'type': 'POH'}</t>
  </si>
  <si>
    <t>{'word': '블로킹', 'start_idx': 15, 'end_idx': 17, 'type': 'POH'}</t>
  </si>
  <si>
    <t># 일반적으로 모터나 노를 젓는 동력을 주로 사용하여 추진하는 배를 보트(boat) 또는 동력보트라고 한다면 돛을 사용한 풍력을 주로 이용하는 배를 요트라고 정의한다. 이러한 정의는 보트나 요트를 조종할 수 있는 조종면허시험이나 '요트및동력보트해상보험'같은 보험등 법률용어로 언급되고있는것이 관례이다.</t>
  </si>
  <si>
    <t>{'word': '요트', 'start_idx': 83, 'end_idx': 84, 'type': 'EQP'}</t>
  </si>
  <si>
    <t>{'word': '보트', 'start_idx': 38, 'end_idx': 39, 'type': 'EQP'}</t>
  </si>
  <si>
    <t># 대회전 경기는 활강 경기의 속도와 회전 경기의 회전 기술을 종합 평가하는 경기며 표고차는 남자 250-400m, 여자 250-350m이다. 각 게이트끼리 간격은 5m로 약 30개 가량 설치되어 있다.</t>
  </si>
  <si>
    <t>{'word': '게이트', 'start_idx': 82, 'end_idx': 84, 'type': 'EQP'}</t>
  </si>
  <si>
    <t>1910년 제2회 유럽선수권대회에서 영국이 우승하였다.</t>
  </si>
  <si>
    <t>{'word': '1910년', 'start_idx': 0, 'end_idx': 4, 'type': 'DAT'}</t>
  </si>
  <si>
    <t>{'word': '유럽선수권대회', 'start_idx': 10, 'end_idx': 16, 'type': 'POH'}</t>
  </si>
  <si>
    <t>스키로 흔히 사용하는 것은 활강용으로, 처음에는 목재로 만든 스키가 사용되었으나 근래에 와서는 글라스 파이버(유리섬유)와 메탈(금속) 스키가 사용되고 있다.</t>
  </si>
  <si>
    <t>{'word': '목재', 'start_idx': 27, 'end_idx': 28, 'type': 'POH'}</t>
  </si>
  <si>
    <t>밴디가 캐나다로 전해져, 1860년 로열 캐나디언 라이플스 연대 병사들이 킹스턴의 빙원(氷原)에서 처음으로 퍽을 사용해서 시합을 하였다.</t>
  </si>
  <si>
    <t>{'word': '로열 캐나디언 라이플스 연대', 'start_idx': 20, 'end_idx': 34, 'type': 'ORG'}</t>
  </si>
  <si>
    <t>Annotator</t>
  </si>
  <si>
    <t>Relation</t>
  </si>
  <si>
    <t>Remark</t>
  </si>
  <si>
    <t>Veomchan</t>
  </si>
  <si>
    <t>스키의 종류에는 알파인 스키, 노르딕 스키, 트윈팁 스키, 알파인 투어링 스키, 모노스키, 텔레마크 스키, 크로스컨트리 스키, 백컨트리 스키, 모글 스키, 스키, 점핑 스키가 있다.</t>
  </si>
  <si>
    <t>모든 역도 경기는 탄력이 있는 나무로 만들어진 경기대 위에서 실시되어야 하며, 경기장은 가로와 세로가 각각 4m이며 두께가 10cm인 연기대로 되어 있다.</t>
  </si>
  <si>
    <t>스키를 눈 위에 평행으로 놓고 바인딩 쪽에 부츠를 넣고 뒷꿈치를 힘껏 눌러 착용한다. 스키를 벗을 때는 폴 등으로 뒷쪽을 누른다.</t>
  </si>
  <si>
    <t>minseong</t>
  </si>
  <si>
    <t>뜀뛰기 운동에는 멀리뛰기·높이뛰기·3단뛰기·장대높이뛰기 등이 있는데 내용과 방법이 각각 다르지만, 공통적인 기술은 도움닫기·발구르기·공중동작·착지의 네 가지이다.</t>
  </si>
  <si>
    <t>앤빌 코러스(Anvil Chorus)는 아령 체조의 하나. 간단한 다리 운동 및 뜀뛰기 등과 함께 두 팔을 여러 방향으로 들어, 흔들거나 휘돌려 아령의 같은 끝끼리 부딪치게 하면서 실시하는 율동 체조이다.</t>
  </si>
  <si>
    <t>레이백(layback) 스핀은 주로 여성들이 하는 업라이트 스핀으로서 등을 뒤로 하고 떠있는 한쪽 발을 뒤로 구부리고 양팔은 주로 위로 뻗은 자세에서 한다.</t>
  </si>
  <si>
    <t>이런 영법은 실제로는 대부분 자유형 종목에서 사용되는 크롤 영법을 가리킨다.</t>
  </si>
  <si>
    <t>플뢰레(Fleuret)는 몸통을 표적으로 하는 찌르기형 경량 무기로, 등도 유효한 표적이나, 팔은 유효한 표적이 아니다.</t>
  </si>
  <si>
    <t>{'word': '플뢰레', 'start_idx': 0, 'end_idx': 2, 'type': 'EQP'}</t>
  </si>
  <si>
    <t>{'word': '찌르기', 'start_idx': 26, 'end_idx': 28, 'type': 'POH'}</t>
  </si>
  <si>
    <t>육상 경기는 인간이 취할 수 있는 가장 기본적인 동작들인 달리기, 뛰기, 던지기 등을 활용해서 만든 스포츠 경기이다.</t>
  </si>
  <si>
    <t>{'word': '육상', 'start_idx': 0, 'end_idx': 1, 'type': 'SPR'}</t>
  </si>
  <si>
    <t>{'word': '달리기', 'start_idx': 32, 'end_idx': 34, 'type': 'POH'}</t>
  </si>
  <si>
    <t>샷건(shotgun)스핀은 떠 있는 발을 빙판과 수평으로 하여 팔로 잡는 업라이트 스핀의 변형 자세이다.</t>
  </si>
  <si>
    <t>{'word': '샷건(shotgun)스핀', 'start_idx': 0, 'end_idx': 12, 'type': 'POH'}</t>
  </si>
  <si>
    <t>{'word': '업라이트 스핀', 'start_idx': 41, 'end_idx': 47, 'type': 'POH'}</t>
  </si>
  <si>
    <t>펜싱을 배우던 독일 학생들은 파리지어 (Parisier, 파리지앵이라는 뜻) 라는 찌르기형 검을 스트로스멘수어 (Stoßmensur, 찌르는 멘수어) 를 위해 개발하기도 하였다.</t>
  </si>
  <si>
    <t>{'word': '펜싱', 'start_idx': 0, 'end_idx': 1, 'type': 'SPR'}</t>
  </si>
  <si>
    <t>{'word': '파리지어', 'start_idx': 16, 'end_idx': 19, 'type': 'EQP'}</t>
  </si>
  <si>
    <t>세계 태권도 연맹(WTF)의 한국지부인 대한 태권도 협회(KTA, The Korea Taekwondo Association)는 1960년에 설립된 대한태권도협회를 기원으로 한다. 1965년 대한태권도협회로 개칭되었다. 2004년 10월 28일 대한민국 문화체육관광부 소관의 사단법인으로 설립허가 되었다.</t>
  </si>
  <si>
    <t>{'word': '대한태권도협회', 'start_idx': 106, 'end_idx': 112, 'type': 'ORG'}</t>
  </si>
  <si>
    <t>{'word': '태권도 협회(KTA, The Korea Taekwondo Association)', 'start_idx': 25, 'end_idx': 68, 'type': 'ORG'}</t>
  </si>
  <si>
    <t>여러가지 다양한 형태가 있는데, 주된 경기는 크로스컨트리와 다운힐 경기 등이며, 4X(포 크로스)라 불리는 경기가 있다.</t>
  </si>
  <si>
    <t>{'word': '크로스컨트리', 'start_idx': 25, 'end_idx': 30, 'type': 'SPR'}</t>
  </si>
  <si>
    <t>{'word': '4X(포 크로스)', 'start_idx': 45, 'end_idx': 53, 'type': 'SPR'}</t>
  </si>
  <si>
    <t>국제 자전거 경기 연합은 벨기에, 미국, 프랑스, 이탈리아, 스위스 등의 나라에 의해 1900년 4월 14일 창립되었는데, 영국과의 분쟁과 여러 문제등으로 인하여 1892년 창립되었던 국제자전거협회를 대체하게 되었다.</t>
  </si>
  <si>
    <t>{'word': '국제 자전거 경기 연합', 'start_idx': 0, 'end_idx': 11, 'type': 'ORG'}</t>
  </si>
  <si>
    <t>{'word': '1900년 4월 14일', 'start_idx': 48, 'end_idx': 59, 'type': 'DAT'}</t>
  </si>
  <si>
    <t>최근 프랑스 펜싱 연맹에 의해 라이트 세이버란 종목이 추가되었다.</t>
  </si>
  <si>
    <t>{'word': '라이트 세이버', 'start_idx': 17, 'end_idx': 23, 'type': 'SPR'}</t>
  </si>
  <si>
    <t>{'word': '프랑스 펜싱 연맹', 'start_idx': 3, 'end_idx': 11, 'type': 'ORG'}</t>
  </si>
  <si>
    <t>막기는 방어를 전제로 하는 기술이다. 아래 막기.몸통 막기(안막기).올려막기(얼굴 막기).옆 막기.한 손날 막기.양 손날 막기, 금강막기,외산틀막기(Oesanteulmakgi) 등이 있다.</t>
  </si>
  <si>
    <t>{'word': '막기', 'start_idx': 0, 'end_idx': 1, 'type': 'POH'}</t>
  </si>
  <si>
    <t>{'word': '몸통 막기(안막기)', 'start_idx': 27, 'end_idx': 36, 'type': 'POH'}</t>
  </si>
  <si>
    <t>바닥이 평평한 신발은 뒷발안쪽과 앞발의 뒷꿈치에 힘을 실어, 런지를 시도할때 마모되는 것을 막는다.</t>
  </si>
  <si>
    <t>{'word': '런지', 'start_idx': 34, 'end_idx': 35, 'type': 'POH'}</t>
  </si>
  <si>
    <t>{'word': '신발', 'start_idx': 8, 'end_idx': 9, 'type': 'EQP'}</t>
  </si>
  <si>
    <t>세계 태권도 연맹(WTF)의 한국지부인 대한 태권도 협회(KTA, The Korea Taekwondo Association)는 1960년에 설립된 대한태권도협회를 기원으로 한다.</t>
  </si>
  <si>
    <t>{'word': '세계 태권도 연맹', 'start_idx': 0, 'end_idx': 8, 'type': 'ORG'}</t>
  </si>
  <si>
    <t>{'word': '대한 태권도 협회', 'start_idx': 22, 'end_idx': 30, 'type': 'ORG'}</t>
  </si>
  <si>
    <t>또한 1912년 IAAF(International Amateur Athletic Federation: 국제 육상 경기 연맹)가 탄생하고 1921년 육상 경기의 세계 기록을 IAAF가 공인하는 제도가 생김으로서 육상 경기는 보다 체계적이고 정확하게 시행될 수 있게 되었다.</t>
  </si>
  <si>
    <t>{'word': 'IAAF', 'start_idx': 9, 'end_idx': 12, 'type': 'ORG'}</t>
  </si>
  <si>
    <t>{'word': '국제 육상 경기 연맹', 'start_idx': 57, 'end_idx': 67, 'type': 'ORG'}</t>
  </si>
  <si>
    <t>쇼트 프로그램'에서 선수는 목록에 제시된 여러 개의 점프, 스핀, 스텝으로 구성된 필수 요소들을 완료해야 한다.</t>
  </si>
  <si>
    <t>{'word': '쇼트 프로그램', 'start_idx': 1, 'end_idx': 7, 'type': 'SPR'}</t>
  </si>
  <si>
    <t>{'word': '스텝', 'start_idx': 38, 'end_idx': 39, 'type': 'POH'}</t>
  </si>
  <si>
    <t>스타트는 단거리 달리기의 기록을 단축시키기 위한 매우 중요한 기술로서, 스타트가 좋고 나쁨에 따라 승부가 결정된다고 할 수 있다.</t>
  </si>
  <si>
    <t>{'word': '달리기', 'start_idx': 9, 'end_idx': 11, 'type': 'SPR'}</t>
  </si>
  <si>
    <t>{'word': '스타트', 'start_idx': 40, 'end_idx': 42, 'type': 'POH'}</t>
  </si>
  <si>
    <t>안장의 앞끝쇠와 크랭크 축과의 거리는 12 cm 이하이다.</t>
  </si>
  <si>
    <t>{'word': '크랭크 축', 'start_idx': 9, 'end_idx': 13, 'type': 'EQP'}</t>
  </si>
  <si>
    <t>{'word': '안장의 앞끝쇠', 'start_idx': 0, 'end_idx': 6, 'type': 'EQP'}</t>
  </si>
  <si>
    <t>스타트는 단거리 달리기의 기록을 단축시키기 위한 매우 중요한 기술로서, 스타트가 좋고 나쁨에 따라 승부가 결정된다고 할 수 있다. 스타트 방법에는 선 채로 하는 스탠딩 스타트와, 양손을 어깨 너비로 벌려 손가락 끝으로 땅을 약간 짚고, 양다리는 앞뒤로 벌려 한쪽 무릎은 땅에 대고 다른 쪽 무릎은 약간 들어 허리를 굽힌 채 양발로 땅을 박차면서 뛰어나가는 크라우칭 스타트가 있다.</t>
  </si>
  <si>
    <t>{'word': '단거리 달리기', 'start_idx': 5, 'end_idx': 11, 'type': 'SPR'}</t>
  </si>
  <si>
    <t>{'word': '크라우칭 스타트', 'start_idx': 199, 'end_idx': 206, 'type': 'POH'}</t>
  </si>
  <si>
    <t>사이클로크로스는 추운 계절중에 훈련을 다변화시킬 목적으로, 비시즌 동안의 도로경기 선수들을 위한 스포츠로 시작되었다.</t>
  </si>
  <si>
    <t>{'word': '도로경기', 'start_idx': 41, 'end_idx': 44, 'type': 'SPR'}</t>
  </si>
  <si>
    <t>장대의 길이는 제한이 없으며, 처음에는 나무로 만들었으나 후에는 대나무, 최근에는 글라스 파이버(유리 섬유)를 사용함으로써 뛰어난 탄력성을 이용할 수 있게 되었다.</t>
  </si>
  <si>
    <t>{'word': '장대', 'start_idx': 0, 'end_idx': 1, 'type': 'EQP'}</t>
  </si>
  <si>
    <t>{'word': '글라스 파이버(유리 섬유)', 'start_idx': 46, 'end_idx': 59, 'type': 'POH'}</t>
  </si>
  <si>
    <t>트랙 도로 경기의 올림픽 여자 종목은 70km를 달린다.</t>
  </si>
  <si>
    <t>{'word': '트랙 도로 경기', 'start_idx': 0, 'end_idx': 7, 'type': 'SPR'}</t>
  </si>
  <si>
    <t>{'word': '70km', 'start_idx': 21, 'end_idx': 24, 'type': 'SPR'}</t>
  </si>
  <si>
    <t>타임 레이스는 8인조 레이스로 해마다 이른 봄에 영국 템스강 하류에서 개최되는 레이스가 유명하다.</t>
  </si>
  <si>
    <t>{'word': '타임 레이스', 'start_idx': 0, 'end_idx': 5, 'type': 'SPR'}</t>
  </si>
  <si>
    <t>{'word': '영국', 'start_idx': 27, 'end_idx': 28, 'type': 'LOC'}</t>
  </si>
  <si>
    <t>스텝 시퀸스에서'모호크(Mohawk)는 발을 바꾸지만 날(안쪽/바깥쪽)을 바꾸지 않는 것으로, '쓰리 턴'과 '브래킷 턴'에 대응된다.</t>
  </si>
  <si>
    <t>{'word': '날', 'start_idx': 30, 'end_idx': 30, 'type': 'EQP'}</t>
  </si>
  <si>
    <t>{'word': '스텝 시퀸스', 'start_idx': 0, 'end_idx': 5, 'type': 'POH'}</t>
  </si>
  <si>
    <t>플뢰레는 규격화되고, 가는, 사각형 형태의 칼날을 가지고 있으며, 이 칼날은 담금질과 열처리를 거쳐 만든 저탄소강으로 제작되어 있다.</t>
  </si>
  <si>
    <t>{'word': '저탄소강', 'start_idx': 59, 'end_idx': 62, 'type': 'POH'}</t>
  </si>
  <si>
    <t>대한민국에서는 1916년 중앙 고등보통학교에서 한강에 보트를 띄운 것이 시초이며, 1955년 제1회 전국선수권대회가 열렸다.</t>
  </si>
  <si>
    <t>{'word': '대한민국', 'start_idx': 0, 'end_idx': 3, 'type': 'ORG'}</t>
  </si>
  <si>
    <t>{'word': '1955년', 'start_idx': 46, 'end_idx': 50, 'type': 'DAT'}</t>
  </si>
  <si>
    <t>자유형 - 접영, 평영, 배영이 아닌 다른 영법을 사용하면 되나, 대부분 크롤 영법을 사용한다.</t>
  </si>
  <si>
    <t>{'word': '자유형', 'start_idx': 0, 'end_idx': 2, 'type': 'SPR'}</t>
  </si>
  <si>
    <t>{'word': '크롤', 'start_idx': 41, 'end_idx': 42, 'type': 'POH'}</t>
  </si>
  <si>
    <t>페어와 아이스 댄싱의 리프트는, 아이스 댄싱에서는 상대방의 어깨 위로 올리면 안된다는 면에서 서로 구별된다.</t>
  </si>
  <si>
    <t>{'word': '아이스 댄싱', 'start_idx': 4, 'end_idx': 9, 'type': 'SPR'}</t>
  </si>
  <si>
    <t>{'word': '리프트', 'start_idx': 12, 'end_idx': 14, 'type': 'POH'}</t>
  </si>
  <si>
    <t>프리 스케이팅에서 스텝 시퀀스에 포함시키거나 연결 요소로 사용할 수 있는 다른 기술로 '런지(lunge)'와 '스프레드 이글(spread eagle)'이 있다.</t>
  </si>
  <si>
    <t>{'word': '프리 스케이팅', 'start_idx': 0, 'end_idx': 6, 'type': 'SPR'}</t>
  </si>
  <si>
    <t>{'word': "'런지(lunge)'", 'start_idx': 48, 'end_idx': 58, 'type': 'POH'}</t>
  </si>
  <si>
    <t>토 룹'는 오른발의 후방 바깥날에서 도약하며, 왼쪽 발끝 픽에 의해 올려진다.</t>
  </si>
  <si>
    <t>{'word': '픽', 'start_idx': 33, 'end_idx': 33, 'type': 'EQP'}</t>
  </si>
  <si>
    <t>{'word': '토 룹', 'start_idx': 1, 'end_idx': 3, 'type': 'POH'}</t>
  </si>
  <si>
    <t>대련(겨루기-용어변경)은 형에서 익힌 것을 바탕으로 실전에 임할 수 있도록 두 사람이 마주 겨루어 보는 것이다.</t>
  </si>
  <si>
    <t>싱크로나이즈드스케이팅은 그룹의 대형의 정확성과 대형 사이의 복잡한 변형에 중점을 두는 단체 아이스 댄싱과 유사하다.</t>
  </si>
  <si>
    <t>{'word': '싱크로나이즈드스케이팅', 'start_idx': 0, 'end_idx': 10, 'type': 'SPR'}</t>
  </si>
  <si>
    <t>{'word': '아이스 댄싱', 'start_idx': 51, 'end_idx': 56, 'type': 'SPR'}</t>
  </si>
  <si>
    <t>하지만, 여러 가지 도약이 있어서 이들이 구분된다. 이들은 크게 토 점프(Toe jump)와 엣지 점프(Edge jump)로 구분된다.</t>
  </si>
  <si>
    <t>{'word': '엣지 점프', 'start_idx': 52, 'end_idx': 56, 'type': 'POH'}</t>
  </si>
  <si>
    <t>{'word': '토 점프', 'start_idx': 36, 'end_idx': 39, 'type': 'POH'}</t>
  </si>
  <si>
    <t>1936년 에페를 기점으로 부심은 전자 장비로 대체되었으며, 유효 투셰에 따라 적색 / 녹색의 램프 전등이 점등되고, 가청음이 나오도록 하였다.</t>
  </si>
  <si>
    <t>{'word': '에페', 'start_idx': 6, 'end_idx': 7, 'type': 'SPR'}</t>
  </si>
  <si>
    <t>{'word': '전자 장비', 'start_idx': 19, 'end_idx': 23, 'type': 'EQP'}</t>
  </si>
  <si>
    <t>발은 몸 앞으로, 옆으로, 또는 뒤로 유지될 수 있다. 발이 선수의 손에 의해 받쳐지는 경우(supported spiral, 서포티드 스파이럴)와 그렇지 않은 경우(unsupported spiral, 언서포티드 스파이럴)가 있으며, 스케이트날을 잡는 경우(catch-foot position, 캐치풋 자세)도 있다. '캐치-풋' 자세의 가장 잘 알려진 것이 비엘만(Biellmann) 자세이다.</t>
  </si>
  <si>
    <t>{'word': '캐치풋 자세', 'start_idx': 164, 'end_idx': 169, 'type': 'POH'}</t>
  </si>
  <si>
    <t>{'word': '스케이트날', 'start_idx': 130, 'end_idx': 134, 'type': 'EQP'}</t>
  </si>
  <si>
    <t>플라스틱 흉부 보호대는 여성들에게 필수 장비이다.</t>
  </si>
  <si>
    <t>{'word': '흉부 보호대', 'start_idx': 5, 'end_idx': 10, 'type': 'EQP'}</t>
  </si>
  <si>
    <t>{'word': '플라스틱', 'start_idx': 0, 'end_idx': 3, 'type': 'POH'}</t>
  </si>
  <si>
    <t>산악 자전거 경기는 상대적으로 새로운 경기로 1990년대에 활성화 되었다.</t>
  </si>
  <si>
    <t>창끝에는 금속으로 된 창날이 붙어 있고, 중심 부분에는 손잡이 끈이 감겨져 있다.</t>
  </si>
  <si>
    <t>{'word': '창', 'start_idx': 0, 'end_idx': 0, 'type': 'EQP'}</t>
  </si>
  <si>
    <t>{'word': '금속', 'start_idx': 5, 'end_idx': 6, 'type': 'POH'}</t>
  </si>
  <si>
    <t>다른 점프를 콤비네이션 다음에 실행하려면, 하프 룹(half loop, 실제로는 완전한 회전이지만 좌측 후방 안쪽날로 착지한다.)와 같은 연결 점프를 이용하여 살코나 플립을 포함시킬 수 있다.</t>
  </si>
  <si>
    <t>{'word': '콤비네이션', 'start_idx': 7, 'end_idx': 11, 'type': 'POH'}</t>
  </si>
  <si>
    <t>{'word': '하프 룹', 'start_idx': 24, 'end_idx': 27, 'type': 'POH'}</t>
  </si>
  <si>
    <t>플뢰레(Fleuret)는 펜싱에 사용되는 무기들 중 하나이며, 영미권에서는 포일(foil) 로 불린다. 현재 주요 펜싱 대회에서 가장 흔히 사용되는 무기이며, 펜싱에 입문하는 자들이 가장 많이 선택하는 무기이다.</t>
  </si>
  <si>
    <t>{'word': '펜싱', 'start_idx': 89, 'end_idx': 90, 'type': 'SPR'}</t>
  </si>
  <si>
    <t>살코'는 좌측 후방 안쪽날에서 도약한다.</t>
  </si>
  <si>
    <t>{'word': '살코', 'start_idx': 1, 'end_idx': 2, 'type': 'POH'}</t>
  </si>
  <si>
    <t>{'word': '안쪽날', 'start_idx': 12, 'end_idx': 14, 'type': 'EQP'}</t>
  </si>
  <si>
    <t>시학씨는 책 서문에서 태권도 대신 코리언 가라데라는 제명을 사용하게 된 이유는 영어권에서는 이미 가라데가 널리 알려져 있었기에 부득이 코리언 가라데라는 명칭을 사용하게 되었다고 말했다.</t>
  </si>
  <si>
    <t>{'word': '태권도', 'start_idx': 12, 'end_idx': 14, 'type': 'SPR'}</t>
  </si>
  <si>
    <t>{'word': '코리언 가라데', 'start_idx': 75, 'end_idx': 81, 'type': 'SPR'}</t>
  </si>
  <si>
    <t>훈련에서 사범은 옷깃 있는 보호장비나, 가죽으로 된 하체 보호대를 쓰기도 한다.</t>
  </si>
  <si>
    <t>{'word': '하체 보호대', 'start_idx': 29, 'end_idx': 34, 'type': 'EQP'}</t>
  </si>
  <si>
    <t>{'word': '가죽', 'start_idx': 22, 'end_idx': 23, 'type': 'POH'}</t>
  </si>
  <si>
    <t>이 라메는 플뢰레와 사브르에서만 쓰이며, 유효면과 무효면을 눈에 띄게 확인할 수 있다.</t>
  </si>
  <si>
    <t>{'word': '플뢰레', 'start_idx': 6, 'end_idx': 8, 'type': 'SPR'}</t>
  </si>
  <si>
    <t>{'word': '라메', 'start_idx': 2, 'end_idx': 3, 'type': 'EQP'}</t>
  </si>
  <si>
    <t>산악자전거 경기는 울퉁불퉁한 턱과 급회전이 많은 트랙이나 야외에서 벌이며 모터크로스 경기라고도 한다.</t>
  </si>
  <si>
    <t>{'word': '산악자전거 경기', 'start_idx': 0, 'end_idx': 7, 'type': 'SPR'}</t>
  </si>
  <si>
    <t>{'word': '모터크로스 경기', 'start_idx': 41, 'end_idx': 48, 'type': 'SPR'}</t>
  </si>
  <si>
    <t>혼계영은 4명의 다른 수영 선수로 릴레이 경주에서, 각각 4가지 영법 중 하나를 사용하는 경기 종목이다. 개인 혼영과 달리 첫 주자의 영법으로 배영이 사용된다.</t>
  </si>
  <si>
    <t>{'word': '혼계영', 'start_idx': 0, 'end_idx': 2, 'type': 'SPR'}</t>
  </si>
  <si>
    <t>{'word': '배영', 'start_idx': 80, 'end_idx': 81, 'type': 'POH'}</t>
  </si>
  <si>
    <t>멀리뛰기는 도움닫기에 의해 크게 좌우되며, 거리의 제한은 없지만 반드시 너비 20cm의 구름판을 딛고 뛰어야 한다.</t>
  </si>
  <si>
    <t>{'word': '멀리뛰기', 'start_idx': 0, 'end_idx': 3, 'type': 'SPR'}</t>
  </si>
  <si>
    <t>{'word': '구름판', 'start_idx': 49, 'end_idx': 51, 'type': 'EQP'}</t>
  </si>
  <si>
    <t>모터-진행 경주와 케이린은 자전거 선수가 모터사이클 뒤를 따라 달리는 자전거 경기이다.</t>
  </si>
  <si>
    <t>{'word': '자전거 경기', 'start_idx': 39, 'end_idx': 44, 'type': 'SPR'}</t>
  </si>
  <si>
    <t>{'word': '케이린', 'start_idx': 10, 'end_idx': 12, 'type': 'SPR'}</t>
  </si>
  <si>
    <t>에페는 전신을 표적으로 하는 찌르기형 중량 무기로 난이도가 가장 높다.</t>
  </si>
  <si>
    <t>{'word': '에페', 'start_idx': 0, 'end_idx': 1, 'type': 'EQP'}</t>
  </si>
  <si>
    <t>{'word': '찌르기', 'start_idx': 16, 'end_idx': 18, 'type': 'POH'}</t>
  </si>
  <si>
    <t>미국싸이클링협회에서 인가한 당일 경기 중 가장 거리가 긴 도로경기는 유타의 로건부터 와이오밍주의 잭슨까지 332km를 달리는 로토자 대회이다.</t>
  </si>
  <si>
    <t>{'word': '미국싸이클링협회', 'start_idx': 0, 'end_idx': 7, 'type': 'ORG'}</t>
  </si>
  <si>
    <t>{'word': '로토자 대회', 'start_idx': 70, 'end_idx': 75, 'type': 'SPR'}</t>
  </si>
  <si>
    <t>동계 올림픽 경기에 포함되는 피겨 스케이팅은 다음과 같은 종류가 있다. 싱글은 각각 남자부문과 여자부문이 있으며 점프, 스핀, 스텝 시퀀스, 스파이럴 등의 요소들을 프로그램에서 실행한다. 페어는 남자와 여자의 혼성으로 구성된다.</t>
  </si>
  <si>
    <t>{'word': '피겨 스케이팅', 'start_idx': 16, 'end_idx': 22, 'type': 'SPR'}</t>
  </si>
  <si>
    <t>스프레드 이글은 두 발을 모두 같은 엣지로 두는 자세이다.</t>
  </si>
  <si>
    <t>{'word': '스프레드 이글', 'start_idx': 0, 'end_idx': 6, 'type': 'POH'}</t>
  </si>
  <si>
    <t>{'word': '엣지', 'start_idx': 20, 'end_idx': 21, 'type': 'EQP'}</t>
  </si>
  <si>
    <t>현대 펜싱이 본격적으로 시작된 시기는 18세기로, 르네상스 시대 이탈리아의 펜싱 아카데미와 그 영향을 받은 프랑스 펜싱 아카데미에 의해 현대 펜싱의 기틀이 잡혔다.</t>
  </si>
  <si>
    <t>{'word': '펜싱', 'start_idx': 3, 'end_idx': 4, 'type': 'SPR'}</t>
  </si>
  <si>
    <t>{'word': '이탈리아', 'start_idx': 36, 'end_idx': 39, 'type': 'LOC'}</t>
  </si>
  <si>
    <t>유나(Yuna) 스핀은 카멜 스핀 시 뒤로 뻗은 다리를 굽히고 등을 바닥으로 향해서 도는 스핀이다. 고도의 체력을 요하는 고난이도 스핀으로 현재 이 기술을 구사할 수 있는 선수는 김연아가 유일하다.</t>
  </si>
  <si>
    <t>{'word': '김연아', 'start_idx': 100, 'end_idx': 102, 'type': 'PER'}</t>
  </si>
  <si>
    <t>{'word': '유나(Yuna) 스핀', 'start_idx': 0, 'end_idx': 10, 'type': 'POH'}</t>
  </si>
  <si>
    <t>자전거 경기는 유럽을 중심으로 전 세계인이 즐기는 운동종목이다.</t>
  </si>
  <si>
    <t>{'word': '자전거 경기', 'start_idx': 0, 'end_idx': 5, 'type': 'SPR'}</t>
  </si>
  <si>
    <t>{'word': '유럽', 'start_idx': 8, 'end_idx': 9, 'type': 'LOC'}</t>
  </si>
  <si>
    <t>지르기는 주로 주먹을 사용하는 기술. 힘을 효과적으로 발휘하여 상대편의 목표 부위를 최단 거리로, 가장 강한 힘으로 지르는데, 몸통 지르기,옆 지르기,치 지르기,ㄷ자 지르기,편 손 끝 지르기, 정권 지르기 등이 있다.</t>
  </si>
  <si>
    <t>{'word': '치 지르기', 'start_idx': 84, 'end_idx': 88, 'type': 'POH'}</t>
  </si>
  <si>
    <t>{'word': '지르기', 'start_idx': 0, 'end_idx': 2, 'type': 'ORG'}</t>
  </si>
  <si>
    <t>한쪽만이 투셰를 기록한 경우, 득점은 프리오리테와 무관하게 인정된다.</t>
  </si>
  <si>
    <t>{'word': '프리오리테', 'start_idx': 21, 'end_idx': 25, 'type': 'POH'}</t>
  </si>
  <si>
    <t>{'word': '투셰', 'start_idx': 5, 'end_idx': 6, 'type': 'POH'}</t>
  </si>
  <si>
    <t>장대높이뛰기에서, 바를 떨어뜨리거나 발구르기를 한 후 손을 장대 위쪽으로 옮겨 쥐면 무효가 된다.</t>
  </si>
  <si>
    <t>{'word': '장대높이뛰기', 'start_idx': 0, 'end_idx': 5, 'type': 'SPR'}</t>
  </si>
  <si>
    <t>{'word': '발구르기', 'start_idx': 20, 'end_idx': 23, 'type': 'POH'}</t>
  </si>
  <si>
    <t>스타트, 스타트 대시, 전력 달리기, 피니시 등을 단계적으로 조화시켜야만 좋은 기록이 나온다.</t>
  </si>
  <si>
    <t>{'word': '스타트 대시', 'start_idx': 5, 'end_idx': 10, 'type': 'POH'}</t>
  </si>
  <si>
    <t>{'word': '피니시', 'start_idx': 21, 'end_idx': 23, 'type': 'POH'}</t>
  </si>
  <si>
    <t>자유형(自由型, Freestyle swimming, 문화어: 자유헤염, 뻘헤염)은 수영 경기 종목의 하나로 특별히 헤엄치는 방법에 제한은 없다.</t>
  </si>
  <si>
    <t>{'word': '수영', 'start_idx': 46, 'end_idx': 47, 'type': 'SPR'}</t>
  </si>
  <si>
    <t>컴펄서리 피겨는 선수들이 날을 이용하여 여러 개의 원과 8자, 또는 유사한 모양을 빙상에 그리는 것이다.</t>
  </si>
  <si>
    <t>{'word': '컴펄서리 피겨', 'start_idx': 0, 'end_idx': 6, 'type': 'SPR'}</t>
  </si>
  <si>
    <t>{'word': '날', 'start_idx': 14, 'end_idx': 14, 'type': 'EQP'}</t>
  </si>
  <si>
    <t>자전거 경기는 자전거를 타고 서로 겨루는 운동 경기이다. 도로 자전거 경기, 사이클로크로스, 산악자전거 경기, 트랙경기, BMX, 자전거 트라이얼, 자전거 스피드웨이 등 여러가지 종류가 있다.</t>
  </si>
  <si>
    <t>{'word': '자전거 트라이얼', 'start_idx': 73, 'end_idx': 80, 'type': 'SPR'}</t>
  </si>
  <si>
    <t>이 스포츠는 벨기에(특히 플란더스 지역)과 프랑스와 같은 전통적인 도로 경기가 성한 국가에서 강세를 보인다.</t>
  </si>
  <si>
    <t>{'word': '벨기에', 'start_idx': 7, 'end_idx': 9, 'type': 'LOC'}</t>
  </si>
  <si>
    <t>{'word': '프랑스', 'start_idx': 24, 'end_idx': 26, 'type': 'LOC'}</t>
  </si>
  <si>
    <t>아따끄 농발라블은 점수로 인정되지 않으나 주심이 알트 (Halte, 정지) 명령을 내린다.</t>
  </si>
  <si>
    <t>{'word': '알트 (Halte, 정지)', 'start_idx': 27, 'end_idx': 40, 'type': 'POH'}</t>
  </si>
  <si>
    <t>{'word': '아따끄 농발라블', 'start_idx': 0, 'end_idx': 7, 'type': 'POH'}</t>
  </si>
  <si>
    <t>전자 플뢰레는 컵가드 아래에 소켓이 있는데, 여기서 옷에 연결된 전선을 따라 득점 센서로 이어지며, 반대로 컵가드의 전선은 검의 끝부분까지 연결되어 있다.</t>
  </si>
  <si>
    <t>{'word': '전자 플뢰레', 'start_idx': 0, 'end_idx': 5, 'type': 'EQP'}</t>
  </si>
  <si>
    <t>{'word': '컵가드의 전선', 'start_idx': 60, 'end_idx': 66, 'type': 'EQP'}</t>
  </si>
  <si>
    <t>현대 펜싱은 스페인에서 유래하였는데, 디에고 데 발레라 (Diego de Valera)가 1458년과 1471년 사이 가톨릭 군주에 의해 공식적인 결투 금지령이 떨어지기 전까지 저술된 무기 논문 (Treatise on Arms)에 규율이 적혀 있다.</t>
  </si>
  <si>
    <t>{'word': '스페인', 'start_idx': 7, 'end_idx': 9, 'type': 'LOC'}</t>
  </si>
  <si>
    <t>페어 스케이팅에서는, 스핀은 두 명의 파트너가 나란히 서서 동일하거나 결합된 스핀을 동시에 실행할 수 있다.</t>
  </si>
  <si>
    <t>{'word': '페어 스케이팅', 'start_idx': 0, 'end_idx': 6, 'type': 'SPR'}</t>
  </si>
  <si>
    <t>{'word': '스핀', 'start_idx': 43, 'end_idx': 44, 'type': 'POH'}</t>
  </si>
  <si>
    <t>육상경기는 단거리 달리기·장거리 달리기·이어달리기 등 여러 가지가 있다.</t>
  </si>
  <si>
    <t>{'word': '육상경기', 'start_idx': 0, 'end_idx': 3, 'type': 'SPR'}</t>
  </si>
  <si>
    <t>{'word': '이어달리기', 'start_idx': 22, 'end_idx': 26, 'type': 'SPR'}</t>
  </si>
  <si>
    <t>크라이터리엄(짧게는 크릿이라 부름)은 북미주에서 가장 인기있는 도로 경기 방식이다.</t>
  </si>
  <si>
    <t>{'word': '도로 경기', 'start_idx': 35, 'end_idx': 39, 'type': 'SPR'}</t>
  </si>
  <si>
    <t>{'word': '크라이터리엄(짧게는 크릿이라 부름)', 'start_idx': 0, 'end_idx': 18, 'type': 'SPR'}</t>
  </si>
  <si>
    <t>1965년 대한태권도협회로 개칭되었다.</t>
  </si>
  <si>
    <t>{'word': '대한태권도협회', 'start_idx': 6, 'end_idx': 12, 'type': 'ORG'}</t>
  </si>
  <si>
    <t>{'word': '1965년', 'start_idx': 0, 'end_idx': 4, 'type': 'DAT'}</t>
  </si>
  <si>
    <t>새품새는 10가지로 청소년 품새인 힘차리,야망,새별,나르샤 4가지 종류와 청장년대 품새인 새아라,어울림 2가지 종류 그리고 중장년 품새인 비각(飛脚),한솔,나래,온누리의 4종으로 발표되었다.</t>
  </si>
  <si>
    <t>{'word': '나르샤', 'start_idx': 29, 'end_idx': 31, 'type': 'SPR'}</t>
  </si>
  <si>
    <t>{'word': '새품새', 'start_idx': 0, 'end_idx': 2, 'type': 'SPR'}</t>
  </si>
  <si>
    <t>라이트 콘택트제의 룰이지만, 한국만의 독자적인 무술을 만들기 위해서 3600개의 새로운 기술의 형태와 총 16권의 태권도 백과사전이 만들어졌다.</t>
  </si>
  <si>
    <t>{'word': '태권도', 'start_idx': 64, 'end_idx': 66, 'type': 'SPR'}</t>
  </si>
  <si>
    <t>{'word': '한국', 'start_idx': 16, 'end_idx': 17, 'type': 'LOC'}</t>
  </si>
  <si>
    <t>펜싱(문화어: 격검; 영어: fencing), 혹은 고전 펜싱과 구별하기 위해 올림픽 펜싱(Olympic Fencing)으로 불리는 이 스포츠는 검을 사용하는 무기 스포츠이다.</t>
  </si>
  <si>
    <t>{'word': '검', 'start_idx': 81, 'end_idx': 81, 'type': 'EQP'}</t>
  </si>
  <si>
    <t>한편, 군 장성이었던 최홍희는 민간도장과는 연이 없었으나, 청도관 출신 인사들이 많던 군대내 도장 오도관을 창립하고 초대관장이 된다.</t>
  </si>
  <si>
    <t>{'word': '도장 오도관', 'start_idx': 52, 'end_idx': 57, 'type': 'ORG'}</t>
  </si>
  <si>
    <t>{'word': '최홍희', 'start_idx': 12, 'end_idx': 14, 'type': 'PER'}</t>
  </si>
  <si>
    <t>WT의 품새에는 고려(高麗), 금강(金剛) 등의 명칭이 쓰인다.</t>
  </si>
  <si>
    <t>{'word': 'WT의 품새', 'start_idx': 0, 'end_idx': 5, 'type': 'ORG'}</t>
  </si>
  <si>
    <t>{'word': '금강(金剛)', 'start_idx': 17, 'end_idx': 22, 'type': 'ORG'}</t>
  </si>
  <si>
    <t>조정경기의 병행 레이스는 가장 널리 실시되는 경기로 코스의 사정에 따라 장거리도 가능하다. 단거리는 올림픽 대회·세계선수권대회 등에서 2000m의 직선 코스를 사용하는데, 경기 방법은 조수(노를 젓는 선수)가 양손에 1개씩 노를 잡고 젓는 스컬 종목과 양손으로 1개의 노를 잡고 젓는 스위퍼 종목으로 크게 나뉜다.</t>
  </si>
  <si>
    <t>{'word': '조정경기', 'start_idx': 0, 'end_idx': 3, 'type': 'SPR'}</t>
  </si>
  <si>
    <t>{'word': '스위퍼', 'start_idx': 159, 'end_idx': 161, 'type': 'SPR'}</t>
  </si>
  <si>
    <t>평영(平泳, 문화어: 가슴헤염, 영어: breaststroke)은 수영 영법이다.</t>
  </si>
  <si>
    <t>{'word': '수영', 'start_idx': 37, 'end_idx': 38, 'type': 'SPR'}</t>
  </si>
  <si>
    <t>창던지기는 고대 올림픽 때부터 시작되어, 근대에는 주로 스웨덴·핀란드 등을 중심으로 발달하다가 오늘날 전 세계에 널리 보급되었다.</t>
  </si>
  <si>
    <t>{'word': '창던지기', 'start_idx': 0, 'end_idx': 3, 'type': 'SPR'}</t>
  </si>
  <si>
    <t>{'word': '스웨덴', 'start_idx': 31, 'end_idx': 33, 'type': 'LOC'}</t>
  </si>
  <si>
    <t>현재는 거의 행하여지지 않으며, 미국에서는 1999년에 전국대회 규모로서는 마지막으로 개최되었다.</t>
  </si>
  <si>
    <t>{'word': '미국', 'start_idx': 18, 'end_idx': 19, 'type': 'LOC'}</t>
  </si>
  <si>
    <t>{'word': '1999년', 'start_idx': 24, 'end_idx': 28, 'type': 'DAT'}</t>
  </si>
  <si>
    <t>이후 이원국은 본인을 한국 태권도 창시주로 지칭하기도 했다.</t>
  </si>
  <si>
    <t>{'word': '태권도', 'start_idx': 15, 'end_idx': 17, 'type': 'ORG'}</t>
  </si>
  <si>
    <t>{'word': '이원국', 'start_idx': 3, 'end_idx': 5, 'type': 'PER'}</t>
  </si>
  <si>
    <t>올림픽 종목으로는 남녀 싱글 스케이팅, 페어 스케이팅, 아이스 댄싱의 네 가지가 있다. 올림픽에 포함되지 않은 종목으로는 싱크로나이즈 스케이팅과 포스케이팅 등이 있다.</t>
  </si>
  <si>
    <t>{'word': '남녀 싱글 스케이팅', 'start_idx': 10, 'end_idx': 19, 'type': 'SPR'}</t>
  </si>
  <si>
    <t>{'word': '싱크로나이즈 스케이팅', 'start_idx': 68, 'end_idx': 78, 'type': 'SPR'}</t>
  </si>
  <si>
    <t>반시계방향으로 회전하는 선수에 있어서는 왼발이 하는 스핀을 포워드(foward,전방) 스핀 혹은 프론트(front, 앞) 스핀이라 하고, 오른발로 하는 스핀을 백(back,후방) 스핀이라 한다.</t>
  </si>
  <si>
    <t>{'word': '포워드(foward,전방) 스핀', 'start_idx': 33, 'end_idx': 49, 'type': 'POH'}</t>
  </si>
  <si>
    <t>{'word': '백(back,후방) 스핀', 'start_idx': 89, 'end_idx': 101, 'type': 'POH'}</t>
  </si>
  <si>
    <t>특히 미국을 비롯한 독일에서는 생소한 '태권도'란 영어대신 “코리언 가라데”라는 간판을 달고 태권도를 보급했다.</t>
  </si>
  <si>
    <t>{'word': '코리언 가라데', 'start_idx': 34, 'end_idx': 40, 'type': 'SPR'}</t>
  </si>
  <si>
    <t>{'word': '태권도', 'start_idx': 22, 'end_idx': 24, 'type': 'SPR'}</t>
  </si>
  <si>
    <t>공중 동작도움닫기의 스피드를 그대로 유지하여 공중을 날아서 착지 동작으로 연결시킨다. 착지연습에 따라서 20–30 cm 정도는 더 뛸 수 있는, 멀리뛰기의 마지막 단계 기술이다.</t>
  </si>
  <si>
    <t>{'word': '멀리뛰기', 'start_idx': 81, 'end_idx': 84, 'type': 'SPR'}</t>
  </si>
  <si>
    <t>{'word': '도움닫기', 'start_idx': 5, 'end_idx': 8, 'type': 'POH'}</t>
  </si>
  <si>
    <t>플뢰레 두 종류의 검 모두 다음의 부품을 가지고 있다. 받침대, 손잡이, 컵가드, 엄지 패드, 그리고 칼날이다.</t>
  </si>
  <si>
    <t>{'word': '컵가드', 'start_idx': 41, 'end_idx': 43, 'type': 'POH'}</t>
  </si>
  <si>
    <t>트랙 경기는 경사진 트랙 즉 벨로드롬에서 하게 된다.</t>
  </si>
  <si>
    <t>{'word': '벨로드롬', 'start_idx': 16, 'end_idx': 19, 'type': 'LOC'}</t>
  </si>
  <si>
    <t>{'word': '트랙 경기', 'start_idx': 0, 'end_idx': 4, 'type': 'SPR'}</t>
  </si>
  <si>
    <t>찌르기는 손끝을 사용하여 공격 목표를 찌르는 기술. 편 손 끝 찌르기·엎은 손 끝 찌르기·가위 손 끝 찌르기·한 손 끝 찌르기 등.</t>
  </si>
  <si>
    <t>{'word': '찌르기', 'start_idx': 0, 'end_idx': 2, 'type': 'POH'}</t>
  </si>
  <si>
    <t>{'word': '엎은 손 끝 찌르기', 'start_idx': 39, 'end_idx': 48, 'type': 'POH'}</t>
  </si>
  <si>
    <t>세계 태권도 연맹 (WT, The World Taekwondo)는 최홍희가 1972년 망명한 이후, 남한에서 1973년 설립되었다.</t>
  </si>
  <si>
    <t>{'word': '세계 태권도 연맹 (WT, The World Taekwondo)', 'start_idx': 0, 'end_idx': 34, 'type': 'ORG'}</t>
  </si>
  <si>
    <t>{'word': '1973년', 'start_idx': 61, 'end_idx': 65, 'type': 'DAT'}</t>
  </si>
  <si>
    <t>플라잉(flying) 싯 스핀은 점프를 하여 시작하는 싯 스핀이다.</t>
  </si>
  <si>
    <t>{'word': '플라잉(flying) 싯 스핀', 'start_idx': 0, 'end_idx': 15, 'type': 'POH'}</t>
  </si>
  <si>
    <t>{'word': '싯 스핀', 'start_idx': 30, 'end_idx': 33, 'type': 'POH'}</t>
  </si>
  <si>
    <t>황기는 전통무예에 관심이 많아 당수도로 시작했던 도장 명칭을 이후 화수도, 수박도 등으로 바꾸고 본인 주장대로라면 전통무예 수박에 영감을 얻어 본인의 창작무술 수박도를 창안하기도 하나, 태권도 통합 과정에 가장 소극적인 편이라 제자들과도 불화를 겪다 결국 무덕관에서 제명당하고 만다.</t>
  </si>
  <si>
    <t>{'word': '당수도', 'start_idx': 17, 'end_idx': 19, 'type': 'ORG'}</t>
  </si>
  <si>
    <t>{'word': '수박도', 'start_idx': 42, 'end_idx': 44, 'type': 'ORG'}</t>
  </si>
  <si>
    <t>세단뛰기 또는 트리플 점프라고도 한다.</t>
  </si>
  <si>
    <t>{'word': '세단뛰기', 'start_idx': 0, 'end_idx': 3, 'type': 'SPR'}</t>
  </si>
  <si>
    <t>{'word': '트리플 점프', 'start_idx': 8, 'end_idx': 13, 'type': 'SPR'}</t>
  </si>
  <si>
    <t>조정경기의 병행 레이스는 가장 널리 실시되는 경기로 코스의 사정에 따라 장거리도 가능하다.</t>
  </si>
  <si>
    <t>{'word': '병행 레이스', 'start_idx': 6, 'end_idx': 11, 'type': 'SPR'}</t>
  </si>
  <si>
    <t>크롤을 자유형(freestyle swimming)이라고 하기도 하지만, 엄밀히 말하면 자유형에서는 배영과 개헤엄(dog paddle)을 포함한 어떤 영법이라도 수영자가 선택할 수 있다.</t>
  </si>
  <si>
    <t>{'word': '자유형', 'start_idx': 48, 'end_idx': 50, 'type': 'SPR'}</t>
  </si>
  <si>
    <t>{'word': '개헤엄', 'start_idx': 59, 'end_idx': 61, 'type': 'POH'}</t>
  </si>
  <si>
    <t>단거리 달리기는 남녀 모두 100m·200m·400m종목이 있다.</t>
  </si>
  <si>
    <t>{'word': '단거리 달리기', 'start_idx': 0, 'end_idx': 6, 'type': 'SPR'}</t>
  </si>
  <si>
    <t>{'word': '400m종목', 'start_idx': 25, 'end_idx': 30, 'type': 'SPR'}</t>
  </si>
  <si>
    <t>라이트 세이버(Lightsaber)는 프랑스 펜싱 협회가 기존의 사브르와 플뢰레, 에페에 이어 영화 &amp;lt;스타워즈&amp;gt;의 광검 대결을 정식 종목으로 채택했다.</t>
  </si>
  <si>
    <t>{'word': '라이트 세이버(Lightsaber)', 'start_idx': 0, 'end_idx': 18, 'type': 'SPR'}</t>
  </si>
  <si>
    <t>{'word': '에페', 'start_idx': 46, 'end_idx': 47, 'type': 'EQP'}</t>
  </si>
  <si>
    <t>비엘만 스핀(Biellmann)은 레이백 스핀의 변형 스핀으로서 떠있는 발을 머리 뒤 위쪽으로 올린다.</t>
  </si>
  <si>
    <t>{'word': '비엘만 스핀', 'start_idx': 0, 'end_idx': 5, 'type': 'POH'}</t>
  </si>
  <si>
    <t>{'word': '레이백 스핀', 'start_idx': 19, 'end_idx': 24, 'type': 'POH'}</t>
  </si>
  <si>
    <t>점프는 피겨 스케이팅의 중요 요소 중 하나이다.</t>
  </si>
  <si>
    <t>{'word': '피겨 스케이팅', 'start_idx': 4, 'end_idx': 10, 'type': 'SPR'}</t>
  </si>
  <si>
    <t>{'word': '점프', 'start_idx': 0, 'end_idx': 1, 'type': 'POH'}</t>
  </si>
  <si>
    <t>에페는 모든 공격은 찌르기만 가능하며, 베기는 무효이다.</t>
  </si>
  <si>
    <t>{'word': '에페', 'start_idx': 0, 'end_idx': 1, 'type': 'SPR'}</t>
  </si>
  <si>
    <t>{'word': '찌르기', 'start_idx': 11, 'end_idx': 13, 'type': 'POH'}</t>
  </si>
  <si>
    <t>멀리뛰기는 도움닫기→발구르기→공중 동작→착지의 순서가 자연스럽게 연결되어야 하므로, 몸의 유연성이 요구된다.</t>
  </si>
  <si>
    <t>{'word': '도움닫기', 'start_idx': 6, 'end_idx': 9, 'type': 'POH'}</t>
  </si>
  <si>
    <t>이나바우어(Ina Bauer)는 한 발은 아웃엣지, 다른 발은 인엣지로 움직인다.</t>
  </si>
  <si>
    <t>{'word': '이나바우어', 'start_idx': 0, 'end_idx': 4, 'type': 'POH'}</t>
  </si>
  <si>
    <t>{'word': '인엣지', 'start_idx': 35, 'end_idx': 37, 'type': 'EQP'}</t>
  </si>
  <si>
    <t>에페는 베기를 하였을 경우에는 득점이 인정되지 않으며 경기가 정지되지 않는다.</t>
  </si>
  <si>
    <t>{'word': '베기', 'start_idx': 4, 'end_idx': 5, 'type': 'POH'}</t>
  </si>
  <si>
    <t>치기는 손날치기·등주먹치기·메주먹치기 등이 있다.</t>
  </si>
  <si>
    <t>{'word': '메주먹치기', 'start_idx': 15, 'end_idx': 19, 'type': 'POH'}</t>
  </si>
  <si>
    <t>{'word': '치기', 'start_idx': 0, 'end_idx': 1, 'type': 'POH'}</t>
  </si>
  <si>
    <t>레이백 스핀의 일반적인 변형자세로는 레이백 스핀자세에서 떠있는 발을 잡아 머리쪽으로 당기는 캐치풋 레이백(catch foot layback) 스핀 혹은 헤어커터 레이백(haircutter layback) 스핀이 있다.</t>
  </si>
  <si>
    <t>{'word': '레이백 스핀', 'start_idx': 0, 'end_idx': 5, 'type': 'POH'}</t>
  </si>
  <si>
    <t>{'word': '헤어커터 레이백(haircutter layback) 스핀', 'start_idx': 85, 'end_idx': 115, 'type': 'POH'}</t>
  </si>
  <si>
    <t>최초의 자전거 경기는 1868년 5월 31일에 파리의 파크 드 상클로에서 열린 1,200미터 경주였다.</t>
  </si>
  <si>
    <t>{'word': '자전거 경기', 'start_idx': 4, 'end_idx': 9, 'type': 'SPR'}</t>
  </si>
  <si>
    <t>{'word': '1868년 5월 31일', 'start_idx': 12, 'end_idx': 23, 'type': 'DAT'}</t>
  </si>
  <si>
    <t>기록에 남은 최초의 경기는 그리스에서 기원전 776년에 처음 개최된 고대올림픽이다.</t>
  </si>
  <si>
    <t>{'word': '기원전 776년', 'start_idx': 21, 'end_idx': 28, 'type': 'DAT'}</t>
  </si>
  <si>
    <t>{'word': '그리스', 'start_idx': 15, 'end_idx': 17, 'type': 'LOC'}</t>
  </si>
  <si>
    <t>풋 서클(Foot Circle)은 발뒤꿈치의 회전. 양손으로 철봉을 잡고 양손의 바깥 또는 안쪽에 발바닥을 대고 앞뒤로 도는 것이다.</t>
  </si>
  <si>
    <t>{'word': '철봉', 'start_idx': 34, 'end_idx': 35, 'type': 'EQP'}</t>
  </si>
  <si>
    <t>{'word': '풋 서클(Foot Circle)', 'start_idx': 0, 'end_idx': 16, 'type': 'POH'}</t>
  </si>
  <si>
    <t>해머던지기는 옛날에는 나무자루가 달린 망치가 해머였지만 1875년부터 해머의 끝을 둥근 공으로 하여 피아노 줄을 단 것을 사용하였다.</t>
  </si>
  <si>
    <t>{'word': '해머던지기', 'start_idx': 0, 'end_idx': 4, 'type': 'SPR'}</t>
  </si>
  <si>
    <t>{'word': '해머', 'start_idx': 25, 'end_idx': 26, 'type': 'EQP'}</t>
  </si>
  <si>
    <t>세단뛰기는 먼저 구른 발로 착지하는 '홉', 반대 발로 착지하는 '스텝', 멀리뛰기와 같은 방법으로 양발 착지를 하는 '점프'의 세 가지를 연속적으로 뛰어, 그 뛴 거리를 합하여 순위를 정하는 경기이다.</t>
  </si>
  <si>
    <t>{'word': '홉', 'start_idx': 21, 'end_idx': 21, 'type': 'POH'}</t>
  </si>
  <si>
    <t>당시에 동양무술하면 가라테가 전부인 줄 아는 미국사람들은 태권도는 처음 들어 보는 말이었다.</t>
  </si>
  <si>
    <t>{'word': '동양무술', 'start_idx': 4, 'end_idx': 7, 'type': 'SPR'}</t>
  </si>
  <si>
    <t>{'word': '태권도', 'start_idx': 32, 'end_idx': 34, 'type': 'SPR'}</t>
  </si>
  <si>
    <t>BMX는 전용으로 제작된 한바퀴짜리 비포장 트랙에서 실시되는 스프린트 경기로 대개 일단 기어를 장착한 자전거가 쓰인다.</t>
  </si>
  <si>
    <t>{'word': 'BMX', 'start_idx': 0, 'end_idx': 2, 'type': 'SPR'}</t>
  </si>
  <si>
    <t>{'word': '자전거', 'start_idx': 57, 'end_idx': 59, 'type': 'EQP'}</t>
  </si>
  <si>
    <t>특히 영향력이 강했던 도장은 청도관과 무덕관으로, 최초의 태권도장인 청도관은 이원국에 의해 설립됐는데, 그는 어렸을 때 서울 안국동에서 택견을 수련했고, 이후 일본으로 유학을 가 대학을 다니면서 근대 가라테의 아버지 후나코시 기친에게 송도관 가라테를 배웠다.</t>
  </si>
  <si>
    <t>{'word': '무덕관', 'start_idx': 21, 'end_idx': 23, 'type': 'ORG'}</t>
  </si>
  <si>
    <t>{'word': '청도관', 'start_idx': 38, 'end_idx': 40, 'type': 'ORG'}</t>
  </si>
  <si>
    <t>태권도는 1945년 일제 해방을 전후해 국내에 여러 개의 무술 도장이 생기게 된다.</t>
  </si>
  <si>
    <t>{'word': '태권도', 'start_idx': 0, 'end_idx': 2, 'type': 'SPR'}</t>
  </si>
  <si>
    <t>{'word': '1945년', 'start_idx': 5, 'end_idx': 9, 'type': 'DAT'}</t>
  </si>
  <si>
    <t>피겨 스케이팅에서는 점프, 스핀, 리프트, 스텝, 턴 등 다양한 기술이 사용된다.</t>
  </si>
  <si>
    <t>{'word': '피겨 스케이팅', 'start_idx': 0, 'end_idx': 6, 'type': 'SPR'}</t>
  </si>
  <si>
    <t>{'word': '점프', 'start_idx': 11, 'end_idx': 12, 'type': 'POH'}</t>
  </si>
  <si>
    <t>하지만, 사람들은 수영 경기 종목 중 평영을 가장 어려운 영법으로 꼽고 있다.</t>
  </si>
  <si>
    <t>{'word': '수영', 'start_idx': 10, 'end_idx': 11, 'type': 'SPR'}</t>
  </si>
  <si>
    <t>{'word': '평영', 'start_idx': 21, 'end_idx': 22, 'type': 'POH'}</t>
  </si>
  <si>
    <t>선수는 브레이크나 프리휠이 장착되지 않은 전용 트랙 자전거를 사용하므로, 변속기어가 없고, 기어와 바퀴 축이 고정된 고정기어이며 브레이크는 없기 때문에 자전거의 속도를 늦추거나 멈추려면 페달에 역방향으로 힘을 주거나, 페달을 멈춰버리는 방법을 사용(스키딩 이라고 함)해서 멈추어야 한다.</t>
  </si>
  <si>
    <t>{'word': '트랙 자전거', 'start_idx': 26, 'end_idx': 31, 'type': 'EQP'}</t>
  </si>
  <si>
    <t>{'word': '스키딩', 'start_idx': 139, 'end_idx': 141, 'type': 'POH'}</t>
  </si>
  <si>
    <t>현대 플뢰레의 유효면에 대한 개념은 펜싱이 적은 안전장비를 사용하던 시대에 도입되었다. 또다른 주장에 의하면, 플뢰레 유효면의 개념은 한사람이 사망할 때까지 결투하던게 대부분이었던 시대에 나왔다고 한다. 두 경우 모두 주요 표적은 주요 내장이 들어있는 몸통이었다.</t>
  </si>
  <si>
    <t>{'word': '펜싱', 'start_idx': 20, 'end_idx': 21, 'type': 'SPR'}</t>
  </si>
  <si>
    <t>{'word': '플뢰레', 'start_idx': 3, 'end_idx': 5, 'type': 'EQP'}</t>
  </si>
  <si>
    <t>방어 장비로써 펜싱 옷은 주로 단단한 면이나 나일론으로 이루어져 있다.</t>
  </si>
  <si>
    <t>{'word': '펜싱 옷', 'start_idx': 8, 'end_idx': 11, 'type': 'EQP'}</t>
  </si>
  <si>
    <t>{'word': '단단한 면', 'start_idx': 17, 'end_idx': 21, 'type': 'POH'}</t>
  </si>
  <si>
    <t>던지기는 포환·원반·창·해머 등 운동 기구를 던져서, 그 던진 거리로 승부를 가리는 운동이다.</t>
  </si>
  <si>
    <t>{'word': '던지기', 'start_idx': 0, 'end_idx': 2, 'type': 'SPR'}</t>
  </si>
  <si>
    <t>{'word': '창', 'start_idx': 11, 'end_idx': 11, 'type': 'EQP'}</t>
  </si>
  <si>
    <t>맞춰겨루기(약속대련)는 약속된 사항 아래 공격과 방어 기술을 활용하는 방법이며, 세 번겨루기와 한번겨루기등 정해놓고 연습한다.</t>
  </si>
  <si>
    <t>{'word': '맞춰겨루기', 'start_idx': 0, 'end_idx': 4, 'type': 'POH'}</t>
  </si>
  <si>
    <t>{'word': '세 번겨루기', 'start_idx': 45, 'end_idx': 50, 'type': 'POH'}</t>
  </si>
  <si>
    <t>양팔접영은 두쪽 팔을 같이 돌리면서 앞에서 뒤로 허벅지를 스쳐서 수영한다.</t>
  </si>
  <si>
    <t>{'word': '수영', 'start_idx': 36, 'end_idx': 37, 'type': 'SPR'}</t>
  </si>
  <si>
    <t>{'word': '양팔접영', 'start_idx': 0, 'end_idx': 3, 'type': 'POH'}</t>
  </si>
  <si>
    <t>펜싱은 에페, 사브르, 플뢰레의 세가지 세부 종목으로 분류된다. 최근 프랑스 펜싱 연맹에 의해 라이트 세이버란 종목이 추가되었다.</t>
  </si>
  <si>
    <t>{'word': '세이버', 'start_idx': 57, 'end_idx': 59, 'type': 'SPR'}</t>
  </si>
  <si>
    <t>한팔접영은 한쪽 팔씩 돌아가면서 앞에서 뒤로 허벅지를 스쳐서 수영한다.</t>
  </si>
  <si>
    <t>{'word': '수영', 'start_idx': 34, 'end_idx': 35, 'type': 'SPR'}</t>
  </si>
  <si>
    <t>{'word': '한팔접영', 'start_idx': 0, 'end_idx': 3, 'type': 'POH'}</t>
  </si>
  <si>
    <t>국제 빙상연맹에서 월드 챔피언쉽과 동계 올림픽 게임의 피겨 스케이팅 경기를 포함한 피겨 스케이팅의 국제 경기를 주관한다.</t>
  </si>
  <si>
    <t>{'word': '국제 빙상연맹', 'start_idx': 0, 'end_idx': 6, 'type': 'ORG'}</t>
  </si>
  <si>
    <t>{'word': '피겨 스케이팅', 'start_idx': 30, 'end_idx': 36, 'type': 'SPR'}</t>
  </si>
  <si>
    <t>방어 장비로써 펜싱 옷은 주로 단단한 면이나 나일론으로 이루어져 있다. 최근 초고분자량 폴리에틸렌 등의 방탄 섬유를 사용하여 켈바의 문제를 해결하고 천공 방지가 되도록 하고 있다.</t>
  </si>
  <si>
    <t>{'word': '나일론', 'start_idx': 25, 'end_idx': 27, 'type': 'POH'}</t>
  </si>
  <si>
    <t>스핀에서 선수는 토 픽 바로 뒷쪽의 볼(ball)로 불리는 스케이트날의 둥근 부분으로 회전한다. 스핀은 단독 또는 여러 형태의 스핀을 결합한 시퀀스로 실행된다.</t>
  </si>
  <si>
    <t>{'word': '스핀', 'start_idx': 0, 'end_idx': 1, 'type': 'PER'}</t>
  </si>
  <si>
    <t>{'word': '스케이트날', 'start_idx': 33, 'end_idx': 37, 'type': 'EQP'}</t>
  </si>
  <si>
    <t>타수(키를 조정하는 선수)는 뱃머리를 향하여 앉고, 조수(노를 젓는 선수)는 타수를 향하여 앉아서 저어 나가 결승선에 뱃머리가 도착하는 순서에 따라 순위를 정한다.</t>
  </si>
  <si>
    <t>{'word': '타수(키를 조정하는 선수)', 'start_idx': 0, 'end_idx': 13, 'type': 'PER'}</t>
  </si>
  <si>
    <t>{'word': '조수(노를 젓는 선수)', 'start_idx': 29, 'end_idx': 40, 'type': 'PER'}</t>
  </si>
  <si>
    <t>플뢰르와 사브르와는 달리, 에페는 프리오리테가 없어 동시타격이 발생한 경우 양쪽 모두 투셰로 인정된다.</t>
  </si>
  <si>
    <t>{'word': '사브르', 'start_idx': 5, 'end_idx': 7, 'type': 'EQP'}</t>
  </si>
  <si>
    <t>{'word': '에페', 'start_idx': 15, 'end_idx': 16, 'type': 'EQP'}</t>
  </si>
  <si>
    <t>ISU 채점시스템(The ISU Judging System, 국제빙산연맹 판정체계)은 신체점제 라고도 불리며 채점 체계가 바뀌게 된 계기는 2002년 동계올림픽때의 판정시비로 인해 2004년 부터 새롭게 도입 되었다. 각 요소마다 점수가 더해지는 체계이다.</t>
  </si>
  <si>
    <t>{'word': 'ISU', 'start_idx': 0, 'end_idx': 2, 'type': 'ORG'}</t>
  </si>
  <si>
    <t>{'word': '국제빙산연맹 판정체계', 'start_idx': 34, 'end_idx': 44, 'type': 'ORG'}</t>
  </si>
  <si>
    <t>조정(漕艇, rowing)은 한 사람 또는 규정된 인원의 선수가 노로 보트를 저어 결승점에 도착한 순서에 의하여 승부를 가리는 경기이다. 흔히 보트 레이스라고도 한다.</t>
  </si>
  <si>
    <t>{'word': '조정(漕艇, rowing)', 'start_idx': 0, 'end_idx': 13, 'type': 'SPR'}</t>
  </si>
  <si>
    <t>{'word': '보트 레이스', 'start_idx': 80, 'end_idx': 85, 'type': 'SPR'}</t>
  </si>
  <si>
    <t>각 점프의 기초점은 쿼드토룹(9점), 트리플악셀(8.5)점, 트리플러츠(6점), 트리플플립(5.3점), 트리플룹(5.1점), 트리플살코(4.2점), 트리플토룹(4.1점), 더블악셀(3.3점)이다.</t>
  </si>
  <si>
    <t>{'word': '쿼드토룹', 'start_idx': 11, 'end_idx': 14, 'type': 'POH'}</t>
  </si>
  <si>
    <t>{'word': '트리플토룹', 'start_idx': 83, 'end_idx': 87, 'type': 'POH'}</t>
  </si>
  <si>
    <t>라메는 플뢰레에서는 소매가 없지만, 사브르의 경우 소매를 가지고 있고, 고관절 위에까지만 내려온다.</t>
  </si>
  <si>
    <t>{'word': '사브르', 'start_idx': 20, 'end_idx': 22, 'type': 'SPR'}</t>
  </si>
  <si>
    <t>{'word': '라메', 'start_idx': 0, 'end_idx': 1, 'type': 'EQP'}</t>
  </si>
  <si>
    <t>피겨 스케이팅에서는 점프, 스핀, 리프트, 스텝, 턴 등 다양한 기술이 사용된다. 올림픽 종목으로는 남녀 싱글 스케이팅, 페어 스케이팅, 아이스 댄싱의 네 가지가 있다. 올림픽에 포함되지 않은 종목으로는 싱크로나이즈 스케이팅과 포스케이팅 등이 있다.</t>
  </si>
  <si>
    <t>{'word': '페어 스케이팅', 'start_idx': 68, 'end_idx': 74, 'type': 'SPR'}</t>
  </si>
  <si>
    <t>배영(backstroke)과 함께 긴 축 영법(long axis stroke)에 속한다.</t>
  </si>
  <si>
    <t>{'word': '긴 축 영법', 'start_idx': 19, 'end_idx': 24, 'type': 'POH'}</t>
  </si>
  <si>
    <t>{'word': '배영', 'start_idx': 0, 'end_idx': 1, 'type': 'POH'}</t>
  </si>
  <si>
    <t>플뢰르는 1956년에, 사브르는 1988년에 처음으로 전자장비가 도입되었다.</t>
  </si>
  <si>
    <t>{'word': '플뢰르', 'start_idx': 0, 'end_idx': 2, 'type': 'SPR'}</t>
  </si>
  <si>
    <t>{'word': '전자장비', 'start_idx': 30, 'end_idx': 33, 'type': 'EQP'}</t>
  </si>
  <si>
    <t>단거리 달리기에서는 스트라이드(달리는 보폭)를 넓게 하고, 피치(발을 번갈아 움직이는 것)를 빠르게 할수록 유리하다.</t>
  </si>
  <si>
    <t>{'word': '피치', 'start_idx': 33, 'end_idx': 34, 'type': 'POH'}</t>
  </si>
  <si>
    <t>펠프스와 같은 세계 정상급 선수들은 턴 이후 15m의 잠영거리를 최대한 활용하는 돌핀킥을 구사하는데, 이는 수면 위에서보다 수면 아래있을때 저항을 덜 받아 빠른 속도를 낼수 있기에 그렇다.</t>
  </si>
  <si>
    <t>{'word': '돌핀킥', 'start_idx': 45, 'end_idx': 47, 'type': 'POH'}</t>
  </si>
  <si>
    <t>{'word': '펠프스', 'start_idx': 0, 'end_idx': 2, 'type': 'PER'}</t>
  </si>
  <si>
    <t>자전거 트라이얼은 선수가 자연지형물 또는 인공 장애물을 발을 땅에 대지 않고 통과를 하는 스포츠로 모터사이클 트라이얼과 비슷하다.</t>
  </si>
  <si>
    <t>{'word': '스포츠로 모터사이클 트라이얼', 'start_idx': 50, 'end_idx': 64, 'type': 'SPR'}</t>
  </si>
  <si>
    <t>{'word': '자전거 트라이얼', 'start_idx': 0, 'end_idx': 7, 'type': 'SPR'}</t>
  </si>
  <si>
    <t>추가로, 페어나 아이스 댄싱에서는, 두 명의 선수가 서로 잡고 동일한 축을 도는 페어와 댄스 스핀이 있다.</t>
  </si>
  <si>
    <t>{'word': '페어', 'start_idx': 5, 'end_idx': 6, 'type': 'SPR'}</t>
  </si>
  <si>
    <t>{'word': '댄스 스핀', 'start_idx': 49, 'end_idx': 53, 'type': 'POH'}</t>
  </si>
  <si>
    <t>비전자식 (혹은 건/ 습식) 과 전자식이다.</t>
  </si>
  <si>
    <t>{'word': '전자식', 'start_idx': 18, 'end_idx': 20, 'type': 'EQP'}</t>
  </si>
  <si>
    <t>{'word': '비전자식', 'start_idx': 0, 'end_idx': 3, 'type': 'EQP'}</t>
  </si>
  <si>
    <t>1972년, 설립자인 최홍희가 박정희 정권과의 정치적 대립으로 캐나다로 이주하면서 본부가 캐나다로 옮겨가게 된다.</t>
  </si>
  <si>
    <t>{'word': '박정희 정권', 'start_idx': 17, 'end_idx': 22, 'type': 'ORG'}</t>
  </si>
  <si>
    <t>혼영(混泳, 문화어: 섞음헤염)은 접영, 배영, 평영, 자유형 순서로 각 종목을 모두 구사하는 것을 말한다. 개인 혼영, 단체 혼영(혼계영) 등의 종목이 있으며 개인 혼영은 각 영법을 개인이 모두 구사하여 완주하는 것이고, 단체 혼영(혼계영)은 총 4명의 선수가 한명씩 배영, 평영, 접영, 자유형 순으로 완주하는 것을 말한다.</t>
  </si>
  <si>
    <t>{'word': '혼영', 'start_idx': 0, 'end_idx': 1, 'type': 'SPR'}</t>
  </si>
  <si>
    <t>{'word': '단체 혼영', 'start_idx': 125, 'end_idx': 129, 'type': 'SPR'}</t>
  </si>
  <si>
    <t>아이스 댄스의 리프트는 어깨보다 높으면 안된다.기타 피겨 스케이팅 분야는 다음과 같다.</t>
  </si>
  <si>
    <t>{'word': '아이스 댄스', 'start_idx': 0, 'end_idx': 5, 'type': 'SPR'}</t>
  </si>
  <si>
    <t>{'word': '리프트', 'start_idx': 8, 'end_idx': 10, 'type': 'POH'}</t>
  </si>
  <si>
    <t>에페는 전신이 표적이므로 라메가 불필요하다.</t>
  </si>
  <si>
    <t>{'word': '라메', 'start_idx': 14, 'end_idx': 15, 'type': 'EQP'}</t>
  </si>
  <si>
    <t>태권도의 수련 방법은 형·대련·단련 등 크게 세 가지로 나뉜다.</t>
  </si>
  <si>
    <t>{'word': '형·대련·단련', 'start_idx': 12, 'end_idx': 18, 'type': 'POH'}</t>
  </si>
  <si>
    <t>choeushong</t>
  </si>
  <si>
    <t>해머던지기는 옛날에는 나무자루가 달린 망치가 해머였지만 1875년부터 해머의 끝을 둥근 공으로 하여 피아노 줄을 단 것을 사용하였다. 오늘날에는 철이나 놋쇠 등으로 만든 금속 속에 납을 채운 공으로, 끈으로 연결된 끝에는 손잡이가 달려 있다.</t>
  </si>
  <si>
    <t>{'word': '해머', 'start_idx': 0, 'end_idx': 1, 'type': 'EQP'}</t>
  </si>
  <si>
    <t>{'word': '놋쇠', 'start_idx': 85, 'end_idx': 86, 'type': 'POH'}</t>
  </si>
  <si>
    <t>악셀'은 전방 좌측 바깥날로 도약하는 회전 점프이다.</t>
  </si>
  <si>
    <t>{'word': '악셀', 'start_idx': 1, 'end_idx': 2, 'type': 'POH'}</t>
  </si>
  <si>
    <t>{'word': '바깥날', 'start_idx': 12, 'end_idx': 14, 'type': 'EQP'}</t>
  </si>
  <si>
    <t>곧추 뛰기(Stride Vaulting Vertical Position)는 도움닫기 후 발구르기를 하고 나서 뜀틀 위에서 두 손을 힘차게 아래로 누르며 일시적으로 곧추 선 자세를 취한 뒤 땅에 내려서는 뜀뛰기이다.</t>
  </si>
  <si>
    <t>{'word': '뜀뛰기', 'start_idx': 113, 'end_idx': 115, 'type': 'SPR'}</t>
  </si>
  <si>
    <t>{'word': '곧추 뛰기(Stride Vaulting Vertical Position)', 'start_idx': 0, 'end_idx': 39, 'type': 'POH'}</t>
  </si>
  <si>
    <t>스타트 방법에는 선 채로 하는 스탠딩 스타트와, 양손을 어깨 너비로 벌려 손가락 끝으로 땅을 약간 짚고, 양다리는 앞뒤로 벌려 한쪽 무릎은 땅에 대고 다른 쪽 무릎은 약간 들어 허리를 굽힌 채 양발로 땅을 박차면서 뛰어나가는 크라우칭 스타트가 있다.</t>
  </si>
  <si>
    <t>{'word': '스탠딩 스타트', 'start_idx': 17, 'end_idx': 23, 'type': 'POH'}</t>
  </si>
  <si>
    <t>{'word': '크라우칭 스타트', 'start_idx': 126, 'end_idx': 133, 'type': 'POH'}</t>
  </si>
  <si>
    <t>자유형 종목 : 50미터 자유형, 100미터 자유형, 200미터 자유형, 400미터 자유형 (쇼트 코스 야드 500 야드 기준), 800미터 자유형 (쇼트 코스 야드 1,000 야드 기준), 1500미터 자유형 (쇼트 코스 야드 1,650 야드 기준), 4×50미터 자유형 릴레이, 4×100미터 자유형 릴레이, 4×200미터 자유형 릴레이100미터 개인 매들리 (쇼트 25미터 수영장 전용), 200미터 개인 매들리, 400미터 개인 매들리, 4×100미터 매들리 릴레이</t>
  </si>
  <si>
    <t>{'word': '800미터 자유형 (쇼트 코스 야드 1,000 야드 기준)', 'start_idx': 73, 'end_idx': 104, 'type': 'SPR'}</t>
  </si>
  <si>
    <t>1954년 그의 부대를 시찰한 이승만이 일종의 변형 가라테 시범을 관람한 후 택견으로 착각하였다는 일화가 있다.</t>
  </si>
  <si>
    <t>{'word': '택견', 'start_idx': 43, 'end_idx': 44, 'type': 'SPR'}</t>
  </si>
  <si>
    <t>{'word': '가라테', 'start_idx': 29, 'end_idx': 31, 'type': 'SPR'}</t>
  </si>
  <si>
    <t>펜싱에서 전통적으로 유니폼은 흰색 (사범은 검은색을 쓴다.)이다. 이는 전자 장비가 도입되기 전에 무기의 득점 기록을 쉽게 확인하기 위해 염색 물감이나, 숯, 유색 분필로 투셰 기록 여부를 판단했던 데로 거슬러 올라간다.</t>
  </si>
  <si>
    <t>{'word': '염색 물감', 'start_idx': 77, 'end_idx': 81, 'type': 'EQP'}</t>
  </si>
  <si>
    <t>도로 자전거 경기, 사이클로크로스, 산악자전거 경기, 트랙경기, BMX, 자전거 트라이얼, 자전거 스피드웨이 등 여러가지 종류가 있다.</t>
  </si>
  <si>
    <t>{'word': '사이클로크로스', 'start_idx': 11, 'end_idx': 17, 'type': 'SPR'}</t>
  </si>
  <si>
    <t>{'word': '자전거 트라이얼', 'start_idx': 41, 'end_idx': 48, 'type': 'SPR'}</t>
  </si>
  <si>
    <t>스텝 시퀸스의 '촉토(Choctaw)'는 발을 바꾸면서 날과 곡선을 바꾸며, '로커'와 '카운터'에 대응된다.</t>
  </si>
  <si>
    <t>{'word': '촉토', 'start_idx': 9, 'end_idx': 10, 'type': 'POH'}</t>
  </si>
  <si>
    <t>카누는 영국식 영어에서 캐나디언 카누(Canadian canoe)라고 부른다.</t>
  </si>
  <si>
    <t>{'word': '카누', 'start_idx': 0, 'end_idx': 1, 'type': 'SPR'}</t>
  </si>
  <si>
    <t>{'word': '캐나디언 카누', 'start_idx': 13, 'end_idx': 19, 'type': 'SPR'}</t>
  </si>
  <si>
    <t>태권도의 종목에는 품새, 겨루기, 격파가 있으며 품새는 각 등급마다 태극 1장부터 일여까지 존재한다.</t>
  </si>
  <si>
    <t>{'word': '격파', 'start_idx': 19, 'end_idx': 20, 'type': 'SPR'}</t>
  </si>
  <si>
    <t>카누 경기(canoeing)는 아주 작은 보트로 하는 수상 경기이다.</t>
  </si>
  <si>
    <t>{'word': '수상 경기', 'start_idx': 30, 'end_idx': 34, 'type': 'SPR'}</t>
  </si>
  <si>
    <t>{'word': '카누 경기', 'start_idx': 0, 'end_idx': 4, 'type': 'SPR'}</t>
  </si>
  <si>
    <t>ITF는 북미권에서 인지도를 얻다 1980년대 이후 북한을 비롯한 공산권 국가에 태권도를 중심적으로 보급하며, WTF와 함께 세계 태권도계를 양분하게 된다.</t>
  </si>
  <si>
    <t>{'word': '태권도', 'start_idx': 73, 'end_idx': 75, 'type': 'SPR'}</t>
  </si>
  <si>
    <t>{'word': 'ITF', 'start_idx': 0, 'end_idx': 2, 'type': 'SPR'}</t>
  </si>
  <si>
    <t>남성용 흉부 보호대 또한 존재하나, 최근까지는, 훈련에서 많이 찔리는 펜싱 사범들만이 활용하였다.</t>
  </si>
  <si>
    <t>{'word': '펜싱', 'start_idx': 39, 'end_idx': 40, 'type': 'SPR'}</t>
  </si>
  <si>
    <t>{'word': '흉부 보호대', 'start_idx': 4, 'end_idx': 9, 'type': 'EQP'}</t>
  </si>
  <si>
    <t>산악자전거는 회전할 때 미끄러지지 않도록 자전거의 작은 바퀴에 넓은 타이어를 단다.</t>
  </si>
  <si>
    <t>{'word': '산악자전거', 'start_idx': 0, 'end_idx': 4, 'type': 'SPR'}</t>
  </si>
  <si>
    <t>{'word': '타이어', 'start_idx': 38, 'end_idx': 40, 'type': 'EQP'}</t>
  </si>
  <si>
    <t>산악자전거 경기는 비포장도로에서 열리므로 어느 정도의 기술적인 라이딩이 필요하다.</t>
  </si>
  <si>
    <t>{'word': '라이딩', 'start_idx': 35, 'end_idx': 37, 'type': 'POH'}</t>
  </si>
  <si>
    <t>평영(breaststroke), 접영(butterfly stroke)과는 달리 크롤은 국제 수영 연맹(FINA)에 의해 규정되지 않지만 자유형에서 광범위하게 사용된다.</t>
  </si>
  <si>
    <t>{'word': '국제 수영 연맹', 'start_idx': 48, 'end_idx': 55, 'type': 'ORG'}</t>
  </si>
  <si>
    <t>{'word': 'FINA', 'start_idx': 57, 'end_idx': 60, 'type': 'ORG'}</t>
  </si>
  <si>
    <t>이후 말레이시아를 시작으로 북미, 남미, 서유럽, 오세아니아 그리고 조선민주주의인민공화국과 러시아, 중화인민공화국을 포함한 여러 공산국가에도 태권도를 보급하였다.</t>
  </si>
  <si>
    <t>{'word': '태권도', 'start_idx': 79, 'end_idx': 81, 'type': 'SPR'}</t>
  </si>
  <si>
    <t>{'word': '조선민주주의인민공화국', 'start_idx': 38, 'end_idx': 48, 'type': 'ORG'}</t>
  </si>
  <si>
    <t>1952년 이전에 접영은 평영으로부터 분리된 영법으로 정의되지 않았으므로 메들리 레이스(혼영 경주)는 오직 3개의 스타일만 사용했다.</t>
  </si>
  <si>
    <t>{'word': '메들리 레이스', 'start_idx': 41, 'end_idx': 47, 'type': 'SPR'}</t>
  </si>
  <si>
    <t>{'word': '평영', 'start_idx': 14, 'end_idx': 15, 'type': 'POH'}</t>
  </si>
  <si>
    <t>BMX는 전용 비포장 코스(때론 포장과 비포장 부분이 섞여있기도 함)를 사용한다.</t>
  </si>
  <si>
    <t>{'word': '전용 비포장 코스(때론 포장과 비포장 부분이 섞여있기도 함)', 'start_idx': 5, 'end_idx': 37, 'type': 'EQP'}</t>
  </si>
  <si>
    <t>아이스 댄싱 경기는 주로 하나 또는 그 이상의 필수 댄스, 독자적인 댄스, '프리 댄스'의 세 가지 형태로 구성된다.</t>
  </si>
  <si>
    <t>{'word': '아이스 댄싱 경기', 'start_idx': 0, 'end_idx': 8, 'type': 'SPR'}</t>
  </si>
  <si>
    <t>{'word': '필수 댄스', 'start_idx': 26, 'end_idx': 30, 'type': 'POH'}</t>
  </si>
  <si>
    <t>개인 혼영과 달리 첫 주자의 영법으로 배영이 사용된다.</t>
  </si>
  <si>
    <t>{'word': '개인 혼영', 'start_idx': 0, 'end_idx': 4, 'type': 'SPR'}</t>
  </si>
  <si>
    <t>{'word': '배영', 'start_idx': 21, 'end_idx': 22, 'type': 'POH'}</t>
  </si>
  <si>
    <t>최홍희는 택견과 비슷한 단어를 찾다 태권에 도를 합하여 태권도라는 명칭을 창안했다.</t>
  </si>
  <si>
    <t>{'word': '택견', 'start_idx': 5, 'end_idx': 6, 'type': 'SPR'}</t>
  </si>
  <si>
    <t>{'word': '태권도', 'start_idx': 31, 'end_idx': 33, 'type': 'SPR'}</t>
  </si>
  <si>
    <t>전자 플뢰레의 끝부분은 버튼 형식으로 되어 있으며, 이 부분은 배럴, 플런저, 스프링, 나사로 구성되어 있다. 회로는 대체로 폐회로로 되어 있으며, 이 뜻은 폐회로가 끊어질 수도 있다는 것이다.</t>
  </si>
  <si>
    <t>{'word': '스프링', 'start_idx': 44, 'end_idx': 46, 'type': 'POH'}</t>
  </si>
  <si>
    <t>특이점으로 태권도 창시자를 최홍희로 규정하고 있다.</t>
  </si>
  <si>
    <t>{'word': '태권도', 'start_idx': 6, 'end_idx': 8, 'type': 'SPR'}</t>
  </si>
  <si>
    <t>{'word': '최홍희', 'start_idx': 15, 'end_idx': 17, 'type': 'PER'}</t>
  </si>
  <si>
    <t>평영은 일반적으로 개구리헤엄이라 부른다.</t>
  </si>
  <si>
    <t>{'word': '평영', 'start_idx': 0, 'end_idx': 1, 'type': 'SPR'}</t>
  </si>
  <si>
    <t>{'word': '개구리헤엄', 'start_idx': 10, 'end_idx': 14, 'type': 'SPR'}</t>
  </si>
  <si>
    <t>출발대에 뱃머리를 나란히 하고 준비를 갖추면 출발 신호원이 깃발이나 신호 총으로 신호한다.</t>
  </si>
  <si>
    <t>{'word': '깃발', 'start_idx': 33, 'end_idx': 34, 'type': 'EQP'}</t>
  </si>
  <si>
    <t>{'word': '신호 총', 'start_idx': 38, 'end_idx': 41, 'type': 'EQP'}</t>
  </si>
  <si>
    <t>산악자전거 경기는 홈이 깊게 파인 울통불퉁한 타이어를 쓴다.</t>
  </si>
  <si>
    <t>{'word': '홈이 깊게 파인 울통불퉁한 타이어', 'start_idx': 10, 'end_idx': 27, 'type': 'EQP'}</t>
  </si>
  <si>
    <t>사브르는 다리 부분을 제외한 허리 위의 상반신 전체를 표적으로 하는 베기형 경량 무기이다.</t>
  </si>
  <si>
    <t>{'word': '사브르', 'start_idx': 0, 'end_idx': 2, 'type': 'EQP'}</t>
  </si>
  <si>
    <t>{'word': '베기', 'start_idx': 38, 'end_idx': 39, 'type': 'POH'}</t>
  </si>
  <si>
    <t>스페인 펜싱 아카데미는 19세기 전까지 별 영향을 미치지 않았다.</t>
  </si>
  <si>
    <t>{'word': '펜싱', 'start_idx': 4, 'end_idx': 5, 'type': 'SPR'}</t>
  </si>
  <si>
    <t>{'word': '스페인', 'start_idx': 0, 'end_idx': 2, 'type': 'LOC'}</t>
  </si>
  <si>
    <t>1968년 일본 동경에서 인쇄, 발간된 조시학 씨의 저서인 태권도 문헌도 &amp;quot;코리안 가라데&amp;quot;라는 제목으로 발간되었다.</t>
  </si>
  <si>
    <t>{'word': '조시학', 'start_idx': 22, 'end_idx': 24, 'type': 'PER'}</t>
  </si>
  <si>
    <t>{'word': '"코리안 가라데"', 'start_idx': 41, 'end_idx': 49, 'type': 'POH'}</t>
  </si>
  <si>
    <t>앞쪽날로 도약하기 때문에, 절반의 추가 회전이 포함되며, 통상 여섯 가지 점프 중 가장 어렵다고 여겨진다</t>
  </si>
  <si>
    <t>{'word': '점프', 'start_idx': 41, 'end_idx': 42, 'type': 'POH'}</t>
  </si>
  <si>
    <t>{'word': '앞쪽날', 'start_idx': 0, 'end_idx': 2, 'type': 'EQP'}</t>
  </si>
  <si>
    <t>1972년 최홍희가 정권과 갈등을 빚다 캐나다로 망명하며 ITF 본거지를 토론토로 옮기자, 대한태권도협회를 중심으로 새로 세계태권도연맹(WTF)을 창립하여 태권도 보급에 나선다.</t>
  </si>
  <si>
    <t>{'word': '세계태권도연맹', 'start_idx': 68, 'end_idx': 74, 'type': 'ORG'}</t>
  </si>
  <si>
    <t>{'word': '1972년', 'start_idx': 0, 'end_idx': 4, 'type': 'DAT'}</t>
  </si>
  <si>
    <t>펜싱은 에페, 사브르, 플뢰레의 세가지 세부 종목으로 분류된다.</t>
  </si>
  <si>
    <t>{'word': '플뢰레', 'start_idx': 13, 'end_idx': 15, 'type': 'SPR'}</t>
  </si>
  <si>
    <t>피겨 스케이팅에는 점프 요소로 산출되는 여섯 가지의 점프 요소가 있다.</t>
  </si>
  <si>
    <t>{'word': '점프', 'start_idx': 29, 'end_idx': 30, 'type': 'POH'}</t>
  </si>
  <si>
    <t>엘리펀트 워크(Elephant Walk)는 코끼리 걸음걷기이다. 즉, 엎드린 채 팔꿈치와 무릎을 펴고 걷는 재주.</t>
  </si>
  <si>
    <t>{'word': '코끼리 걸음걷기', 'start_idx': 24, 'end_idx': 31, 'type': 'POH'}</t>
  </si>
  <si>
    <t>{'word': '엘리펀트 워크', 'start_idx': 0, 'end_idx': 6, 'type': 'POH'}</t>
  </si>
  <si>
    <t>스페셜 피겨는 얼음 위에 그려진 정교한 무늬 자국을 따르는 것으로, 스케이팅의 초기에 흔히 행하여졌으며 올림픽 종목에 포함되기도 하였다.</t>
  </si>
  <si>
    <t>{'word': '스케이팅', 'start_idx': 38, 'end_idx': 41, 'type': 'SPR'}</t>
  </si>
  <si>
    <t>{'word': '스페셜 피겨', 'start_idx': 0, 'end_idx': 5, 'type': 'SPR'}</t>
  </si>
  <si>
    <t>비엘만 스핀은 1981년 세계선수권 우승자인 데니스 비엘만이 처음 시도하였고 스핀 이름이 그녀의 이름에서 지어졌다.</t>
  </si>
  <si>
    <t>{'word': '데니스 비엘만', 'start_idx': 25, 'end_idx': 31, 'type': 'PER'}</t>
  </si>
  <si>
    <t>악셀이 아닌 트리플 점프는 주로 여자 싱글 스케이트 선수가 실행한다.</t>
  </si>
  <si>
    <t>{'word': '여자 싱글 스케이트', 'start_idx': 18, 'end_idx': 27, 'type': 'SPR'}</t>
  </si>
  <si>
    <t>{'word': '트리플 점프', 'start_idx': 7, 'end_idx': 12, 'type': 'POH'}</t>
  </si>
  <si>
    <t>피겨 스케이팅(영어: figure skating, 문화어: 휘거경기)은 개인, 2인조, 또는 집단이 스케이트를 신고 얼음 위를 활주하며 갖가지 동작으로 율동의 아름다움을 겨루는 경기로 '빙상의 예술'이라고도 하며, 동계 올림픽의 꽃이라고 해도 과언이 아니다.</t>
  </si>
  <si>
    <t>{'word': '스케이트', 'start_idx': 56, 'end_idx': 59, 'type': 'EQP'}</t>
  </si>
  <si>
    <t>테크니컬 심판은 점프의 도약과 착지시 엣지와 회전수 등을 평가하며 스핀, 스파이럴의 레벨을 결정한다.</t>
  </si>
  <si>
    <t>{'word': '엣지', 'start_idx': 21, 'end_idx': 22, 'type': 'EQP'}</t>
  </si>
  <si>
    <t>{'word': '스파이럴', 'start_idx': 41, 'end_idx': 44, 'type': 'POH'}</t>
  </si>
  <si>
    <t>플뢰레는 찌르기형 무기이기 때문에 칼끝으로만 득점 가능하다.</t>
  </si>
  <si>
    <t>{'word': '찌르기', 'start_idx': 5, 'end_idx': 7, 'type': 'POH'}</t>
  </si>
  <si>
    <t>경기 종목으로는 노를 오른손과 왼손에 각각 1개씩 잡는 스킬과 두 손으로 1개의 노를 잡는 로윙 (Rowing)이 있다.</t>
  </si>
  <si>
    <t>{'word': '로윙', 'start_idx': 51, 'end_idx': 52, 'type': 'SPR'}</t>
  </si>
  <si>
    <t>{'word': '노', 'start_idx': 9, 'end_idx': 9, 'type': 'EQP'}</t>
  </si>
  <si>
    <t>WT는 ITF와 달리 태권도의 기원을 멀리 잡아 &amp;quot;가깝게는 택견으로, 멀게는 삼국시대의 화랑도와 수박까지 거슬러 올라갈 수 있다.&amp;quot;고 주장한다.</t>
  </si>
  <si>
    <t>{'word': 'WT', 'start_idx': 0, 'end_idx': 1, 'type': 'SPR'}</t>
  </si>
  <si>
    <t>{'word': '삼국시대의 화랑도', 'start_idx': 43, 'end_idx': 51, 'type': 'LOC'}</t>
  </si>
  <si>
    <t>접영에는 한팔접영과 양팔접영이 있으며, 한팔접영은 양팔접영을 배우기 전의 초보자들이 거치는 단계이다.</t>
  </si>
  <si>
    <t>{'word': '접영', 'start_idx': 0, 'end_idx': 1, 'type': 'POH'}</t>
  </si>
  <si>
    <t>{'word': '양팔접영', 'start_idx': 28, 'end_idx': 31, 'type': 'POH'}</t>
  </si>
  <si>
    <t>아이스 댄스는 서로 가까이 잡고 음악에 맞추어 복잡한 발기술을 실행한다.</t>
  </si>
  <si>
    <t>{'word': '발기술', 'start_idx': 30, 'end_idx': 32, 'type': 'POH'}</t>
  </si>
  <si>
    <t>채점기준은 2002년까지는 여러 명의 심사위원이 0점부터 최고 6점까지 소수점 이하 한 자리 단위로 점수를 매겼으나, 2004년의 판정 시비로 2006년 이후로는 모든 국제 경기에 국제빙상연맹(ISU, International Skating Union)의 기준이 적용되었다.</t>
  </si>
  <si>
    <t>{'word': '국제빙상연맹', 'start_idx': 101, 'end_idx': 106, 'type': 'ORG'}</t>
  </si>
  <si>
    <t>{'word': 'ISU', 'start_idx': 108, 'end_idx': 110, 'type': 'ORG'}</t>
  </si>
  <si>
    <t>비전자식 플뢰레는 끝이 뭉툭하게 생겼으며, 이는 흔히 검의 끝을 접으며 생겨났는데, 이 검의 끝부분은 플라스틱이나 고무로 고정되어 있다.</t>
  </si>
  <si>
    <t>{'word': '비전자식 플뢰레', 'start_idx': 0, 'end_idx': 7, 'type': 'EQP'}</t>
  </si>
  <si>
    <t>{'word': '고무', 'start_idx': 64, 'end_idx': 65, 'type': 'POH'}</t>
  </si>
  <si>
    <t>조정(漕艇, rowing)은 한 사람 또는 규정된 인원의 선수가 노로 보트를 저어 결승점에 도착한 순서에 의하여 승부를 가리는 경기이다.</t>
  </si>
  <si>
    <t>{'word': '보트', 'start_idx': 39, 'end_idx': 40, 'type': 'POH'}</t>
  </si>
  <si>
    <t>체조는 건강을 유지 또는 증진하고 나아가 체력을 향상시킬 수 있는 전신 운동으로, 크게 나누어 맨손 체조와 기계 체조, 그리고 리듬 체조가 있다.</t>
  </si>
  <si>
    <t>{'word': '체조', 'start_idx': 0, 'end_idx': 1, 'type': 'SPR'}</t>
  </si>
  <si>
    <t>{'word': '리듬 체조', 'start_idx': 71, 'end_idx': 75, 'type': 'SPR'}</t>
  </si>
  <si>
    <t>체조는 고대 그리스에서 비롯되었으나 경기로 발전, 근대 스포츠로서 세계적으로 널리 알려진 것은 근대 올림픽 부활 이후부터다.</t>
  </si>
  <si>
    <t>{'word': '그리스', 'start_idx': 7, 'end_idx': 9, 'type': 'LOC'}</t>
  </si>
  <si>
    <t>펜싱의 종주국 프랑스가 전국대회를 열고 세계 연맹과 올림픽 공식 종목 채택을 위해 노력하는 등 적극적으로 나선데 이어 대한펜싱협회도 생활체육 활성화를 위해 도입을 검토하는 중이다.</t>
  </si>
  <si>
    <t>{'word': '프랑스', 'start_idx': 8, 'end_idx': 10, 'type': 'LOC'}</t>
  </si>
  <si>
    <t>스텝 시퀀스는 턴(turn), 스텝(step), 뛰기(hop), 날 바꿈(edge change)으로 구성된다.</t>
  </si>
  <si>
    <t>{'word': '스텝 시퀀스', 'start_idx': 0, 'end_idx': 5, 'type': 'POH'}</t>
  </si>
  <si>
    <t>{'word': '날 바꿈', 'start_idx': 36, 'end_idx': 39, 'type': 'POH'}</t>
  </si>
  <si>
    <t>국제대회에서의 플뢰레 컵가드의 직경은 9.5-12cm로 제한되어 있다.</t>
  </si>
  <si>
    <t>{'word': '플뢰레', 'start_idx': 8, 'end_idx': 10, 'type': 'EQP'}</t>
  </si>
  <si>
    <t>{'word': '컵가드', 'start_idx': 12, 'end_idx': 14, 'type': 'POH'}</t>
  </si>
  <si>
    <t>토 점프는 한쪽 스케이트의 토 픽(toe pick, 스케이트날 앞쪽의 톱날 부분)을 얼음에 두드려 뛰어오르는 것으로, 다음과 같은 종류가 있다. (난이도가 낮은 것부터 높은 순으로)</t>
  </si>
  <si>
    <t>{'word': '토 점프', 'start_idx': 0, 'end_idx': 3, 'type': 'POH'}</t>
  </si>
  <si>
    <t>{'word': '토 픽', 'start_idx': 15, 'end_idx': 17, 'type': 'EQP'}</t>
  </si>
  <si>
    <t>자전거 경기는 자전거를 타고 서로 겨루는 운동 경기이다.</t>
  </si>
  <si>
    <t>{'word': '자전거', 'start_idx': 8, 'end_idx': 10, 'type': 'EQP'}</t>
  </si>
  <si>
    <t>평영(breaststroke), 접영(butterfly stroke)과는 달리 크롤은 국제 수영 연맹(FINA)에 의해 규정되지 않지만 자유형에서 광범위하게 사용된다. 이 영법은 때때로 오스트레일리안 크롤(Australian crawl) 또는 아메리칸 크롤(American crawl)이라고 불리지만 엄밀히 말하면 이 명칭들은 프런트 크롤 영법들(front crawl strokes)의 약간 다른 변형 영법들을 지칭한다.</t>
  </si>
  <si>
    <t>{'word': '자유형', 'start_idx': 76, 'end_idx': 78, 'type': 'SPR'}</t>
  </si>
  <si>
    <t>{'word': '아메리칸 크롤', 'start_idx': 137, 'end_idx': 143, 'type': 'POH'}</t>
  </si>
  <si>
    <t>배영, 평영, 자유형. 미국에서 일부 1953년 메들리 레이스는 접영을 포함했으며 1954년부터 아마추어 경기 연맹을 통해 이를 의무화했다.</t>
  </si>
  <si>
    <t>{'word': '아마추어 경기 연맹', 'start_idx': 54, 'end_idx': 63, 'type': 'ORG'}</t>
  </si>
  <si>
    <t>{'word': '접영', 'start_idx': 36, 'end_idx': 37, 'type': 'SPR'}</t>
  </si>
  <si>
    <t>1953년 제29보병사단장이 된 그는 부대명을 태권도부대라 명명하고 경례구호도 태권이라 한다.</t>
  </si>
  <si>
    <t>{'word': '태권도부대', 'start_idx': 26, 'end_idx': 30, 'type': 'ORG'}</t>
  </si>
  <si>
    <t>{'word': '1953년 제29보병사단장', 'start_idx': 0, 'end_idx': 13, 'type': 'PER'}</t>
  </si>
  <si>
    <t>브로큰 레그(broken leg) 싯 스핀은 떠있는 다리를 엉덩이 쪽으로 향하게 하는 싯 스핀이다.</t>
  </si>
  <si>
    <t>{'word': '브로큰 레그(broken leg) 싯 스핀', 'start_idx': 0, 'end_idx': 22, 'type': 'POH'}</t>
  </si>
  <si>
    <t>{'word': '싯 스핀', 'start_idx': 48, 'end_idx': 51, 'type': 'POH'}</t>
  </si>
  <si>
    <t>스프린트 레이스의 특징은 타임 트라이얼처럼 모든 코스를 계시하지 않고 마지막 200m 지점에서 스퍼트하여 결승점까지의 속도를 계시하여 순위를 결정한다.</t>
  </si>
  <si>
    <t>{'word': '스프린트 레이스', 'start_idx': 0, 'end_idx': 7, 'type': 'SPR'}</t>
  </si>
  <si>
    <t>{'word': '타임 트라이얼', 'start_idx': 14, 'end_idx': 20, 'type': 'SPR'}</t>
  </si>
  <si>
    <t>장애물달리기는 정해진 거리에 똑같은 간격으로 배치해 놓은 허들(나무로 만든 장애물)을 넘으면서 달리는 경기이다.</t>
  </si>
  <si>
    <t>{'word': '장애물달리기', 'start_idx': 0, 'end_idx': 5, 'type': 'SPR'}</t>
  </si>
  <si>
    <t>{'word': '허들', 'start_idx': 32, 'end_idx': 33, 'type': 'EQP'}</t>
  </si>
  <si>
    <t>자유형은 50m와 같이 한 순간에 승부가 결정되는 종목부터 1500m와 같이 장시간이 걸리는 종목까지 많은 종목이 존재한다.</t>
  </si>
  <si>
    <t>{'word': '1500m', 'start_idx': 33, 'end_idx': 37, 'type': 'SPR'}</t>
  </si>
  <si>
    <t>메디신 볼(Medicine Ball)은 체조 용구의 하나. 처음에는 무게 3 kg, 지름 33.35cm의 공을 사용하였으나, 오늘날 유럽에서는 무게 2~3 kg, 지름 26~28cm의 공을 사용한다.</t>
  </si>
  <si>
    <t>{'word': '체조', 'start_idx': 22, 'end_idx': 23, 'type': 'SPR'}</t>
  </si>
  <si>
    <t>{'word': '메디신 볼', 'start_idx': 0, 'end_idx': 4, 'type': 'EQP'}</t>
  </si>
  <si>
    <t>경륜은 올림픽 스포츠 종목이다. 국제 자전거 경기 연합(UCI)이 국제 자전거 경기 및 대회를 주관한다.</t>
  </si>
  <si>
    <t>{'word': '국제 자전거 경기 연합', 'start_idx': 18, 'end_idx': 29, 'type': 'ORG'}</t>
  </si>
  <si>
    <t>{'word': 'UCI', 'start_idx': 31, 'end_idx': 33, 'type': 'ORG'}</t>
  </si>
  <si>
    <t>태권도의 경기 방법 및 규칙은 태권도 시합을 할 경우에는 각각 1명씩 대전하는 개인전과 5명을 1조로 하는 단체전이 있는데, 일정한 규칙 아래 기술을 겨루어 득점제에 따라 승패가 결정된다.</t>
  </si>
  <si>
    <t>{'word': '단체전', 'start_idx': 60, 'end_idx': 62, 'type': 'SPR'}</t>
  </si>
  <si>
    <t>국제 펜싱 연맹 (Fédération Internationale d'Escrime) 과 대부분 국가들의 국립 펜싱 협회의 주관하는 일부 대회에서는 비전자식을 사용하며 비디오 판독없이 진행하나, 주요 대회에서는 대개 전자 플뢰레를 사용한다.</t>
  </si>
  <si>
    <t>{'word': '국제 펜싱 연맹', 'start_idx': 0, 'end_idx': 7, 'type': 'ORG'}</t>
  </si>
  <si>
    <t>{'word': '전자 플뢰레', 'start_idx': 120, 'end_idx': 125, 'type': 'EQP'}</t>
  </si>
  <si>
    <t>Y 스핀은 떠있는 발을 옆으로 뻗어서 팔로 잡는 업라이트 스핀이다. 스케이트화나 발목을 잡는다.</t>
  </si>
  <si>
    <t>{'word': 'Y 스핀', 'start_idx': 0, 'end_idx': 3, 'type': 'POH'}</t>
  </si>
  <si>
    <t>{'word': '스케이트화', 'start_idx': 38, 'end_idx': 42, 'type': 'EQP'}</t>
  </si>
  <si>
    <t>자유형이라고 하는 형태의 영법도 있다고 하는데 이는 맞지 않는 말이다. 이런 영법은 실제로는 대부분 자유형 종목에서 사용되는 크롤 영법을 가리킨다.</t>
  </si>
  <si>
    <t>{'word': '크롤 영법', 'start_idx': 70, 'end_idx': 74, 'type': 'POH'}</t>
  </si>
  <si>
    <t>{'word': '자유형', 'start_idx': 0, 'end_idx': 2, 'type': 'POH'}</t>
  </si>
  <si>
    <t>모든 자전거 경기에는 두 개의 삼각형 형태를 가진 다이아몬드 모양의 프레임을 쓰는데 이는 주로 철합금(Cr-Mo를 포함한), 알루미늄, 탄소섬유 등으로 만들어져있다.</t>
  </si>
  <si>
    <t>{'word': '자전거', 'start_idx': 3, 'end_idx': 5, 'type': 'EQP'}</t>
  </si>
  <si>
    <t>{'word': '알루미늄', 'start_idx': 70, 'end_idx': 73, 'type': 'POH'}</t>
  </si>
  <si>
    <t>개인 혼영, 단체 혼영(혼계영) 등의 종목이 있으며 개인 혼영은 각 영법을 개인이 모두 구사하여 완주하는 것이고, 단체 혼영(혼계영)은 총 4명의 선수가 한명씩 배영, 평영, 접영, 자유형 순으로 완주하는 것을 말한다.</t>
  </si>
  <si>
    <t>{'word': '단체 혼영', 'start_idx': 64, 'end_idx': 68, 'type': 'SPR'}</t>
  </si>
  <si>
    <t>{'word': '배영', 'start_idx': 90, 'end_idx': 91, 'type': 'POH'}</t>
  </si>
  <si>
    <t>뻗어차기,앞차기,옆차기,돌려차기,반달차기,뒤차기,밀어차기,굴러차기,앞후려차기,뒤후려차기,돌개차기(턴차기),하단 뒤후리기,540발차기,720발차기,역턴,외발턴등 이 있다.</t>
  </si>
  <si>
    <t>{'word': '앞차기', 'start_idx': 5, 'end_idx': 7, 'type': 'POH'}</t>
  </si>
  <si>
    <t>{'word': '밀어차기', 'start_idx': 27, 'end_idx': 30, 'type': 'POH'}</t>
  </si>
  <si>
    <t>1959년 처음 대한태권도협회가 만들어졌고, 1966년 국제태권도연맹(ITF)이 만들어져 최홍희가 총재로 취임한다.</t>
  </si>
  <si>
    <t>{'word': '대한태권도협회', 'start_idx': 9, 'end_idx': 15, 'type': 'ORG'}</t>
  </si>
  <si>
    <t>{'word': '1959년', 'start_idx': 0, 'end_idx': 4, 'type': 'DAT'}</t>
  </si>
  <si>
    <t>세계 태권도 연맹과 국제 태권도 연맹은 약간씩 수련 내용이나 기술 명칭은 달리 하는데, 아래의 내용은 세계 태권도 연맹의 것을 기준으로 한다.</t>
  </si>
  <si>
    <t>{'word': '국제 태권도 연맹', 'start_idx': 11, 'end_idx': 19, 'type': 'ORG'}</t>
  </si>
  <si>
    <t>개인 혼영은 네 가지 영법을 써서 경기의 4분의 1씩 정해진 순서로 수영하는 경기이다.</t>
  </si>
  <si>
    <t>{'word': '수영', 'start_idx': 38, 'end_idx': 39, 'type': 'SPR'}</t>
  </si>
  <si>
    <t>펜싱(문화어: 격검; 영어: fencing), 혹은 고전 펜싱과 구별하기 위해 올림픽 펜싱(Olympic Fencing)으로 불리는 이 스포츠는 검을 사용하는 무기 스포츠이다. 이 종목은 검이나 소형검을 활용한다.</t>
  </si>
  <si>
    <t>{'word': '소형검', 'start_idx': 109, 'end_idx': 111, 'type': 'EQP'}</t>
  </si>
  <si>
    <t>스텝 시퀸스의 '브래킷 턴'(Bracket turn)은 스케이트 날이 곡선 바깥쪽으로 회전하여 중괄호('}')를 닮은 자국을 남긴다.</t>
  </si>
  <si>
    <t>{'word': '브래킷 턴', 'start_idx': 9, 'end_idx': 13, 'type': 'POH'}</t>
  </si>
  <si>
    <t>{'word': '스케이트 날', 'start_idx': 31, 'end_idx': 36, 'type': 'EQP'}</t>
  </si>
  <si>
    <t>품새는 공격 기술과 방어 기술을 연결시켜 상대 없이도 혼자서 겨루기를 할 수 있게 구성된 연속 동작이다.</t>
  </si>
  <si>
    <t>{'word': '겨루기', 'start_idx': 34, 'end_idx': 36, 'type': 'POH'}</t>
  </si>
  <si>
    <t>{'word': '품새', 'start_idx': 0, 'end_idx': 1, 'type': 'POH'}</t>
  </si>
  <si>
    <t>플라잉(flying) 카멜 스핀은 점프 도입으로 하는 백(back) 카멜 스핀이다.</t>
  </si>
  <si>
    <t>{'word': '플라잉(flying) 카멜 스핀', 'start_idx': 0, 'end_idx': 16, 'type': 'POH'}</t>
  </si>
  <si>
    <t>{'word': '백(back) 카멜 스핀', 'start_idx': 30, 'end_idx': 42, 'type': 'POH'}</t>
  </si>
  <si>
    <t>트리비아는 과거 미국에 태권도를 보급할 때, 어려운 점 중 하나는 미국인들이 영어로 된 태권도 간판을 보고 [중국 음식점]이라 생각하고, 도장문을 들어 오는 경우가 많았다고 한다.</t>
  </si>
  <si>
    <t>{'word': '태권도', 'start_idx': 13, 'end_idx': 15, 'type': 'SPR'}</t>
  </si>
  <si>
    <t>{'word': '미국', 'start_idx': 9, 'end_idx': 10, 'type': 'LOC'}</t>
  </si>
  <si>
    <t>스텝 시퀸스에서 '로커(Rocker)'와 '카운터(counter)'는 한 발로 회전하여 곡선과 방향을 바꾼다.</t>
  </si>
  <si>
    <t>{'word': '카운터', 'start_idx': 24, 'end_idx': 26, 'type': 'POH'}</t>
  </si>
  <si>
    <t>100m(여)·110m(남)·200m·400m 장애물경기와 물웅덩이까지 넘어야 하는 3000m 장애물경기(steeplechase)가 있는데, 스피드, 뛰어오르는 힘, 리듬 감각을 바탕으로 발구르기의 타이밍·뛰어넘기·착지 등을 조화롭게 해야 한다.</t>
  </si>
  <si>
    <t>{'word': '장애물경기', 'start_idx': 26, 'end_idx': 30, 'type': 'SPR'}</t>
  </si>
  <si>
    <t>{'word': '발구르기', 'start_idx': 105, 'end_idx': 108, 'type': 'POH'}</t>
  </si>
  <si>
    <t>사브르는 찌르기와 베기 모두 가능하므로 점수가 제일 많이 나온다.</t>
  </si>
  <si>
    <t>{'word': '사브르', 'start_idx': 0, 'end_idx': 2, 'type': 'SPR'}</t>
  </si>
  <si>
    <t>{'word': '베기', 'start_idx': 10, 'end_idx': 11, 'type': 'POH'}</t>
  </si>
  <si>
    <t>룹'(리트버거 점프)는 우측 후방 바깥날로 도약하며, 동일한 날로 착지한다.</t>
  </si>
  <si>
    <t>{'word': '리트버거 점프', 'start_idx': 4, 'end_idx': 10, 'type': 'POH'}</t>
  </si>
  <si>
    <t>{'word': '우측 후방 바깥날', 'start_idx': 14, 'end_idx': 22, 'type': 'EQP'}</t>
  </si>
  <si>
    <t>기본 양발(basic two-foot) 스핀은 두발을 빙판에 두고 도는 업라이트 스핀이다.</t>
  </si>
  <si>
    <t>{'word': '기본 양발(basic two-foot) 스핀', 'start_idx': 0, 'end_idx': 23, 'type': 'POH'}</t>
  </si>
  <si>
    <t>{'word': '업라이트 스핀', 'start_idx': 40, 'end_idx': 46, 'type': 'POH'}</t>
  </si>
  <si>
    <t>기본 한발(basic one-foot) 스핀은 빙판에 한발을 두고 도는 업라이트 스핀이다.</t>
  </si>
  <si>
    <t>{'word': '기본 한발(basic one-foot) 스핀', 'start_idx': 0, 'end_idx': 23, 'type': 'POH'}</t>
  </si>
  <si>
    <t>스핀에는 업라이트 스핀(upright spin), 싯 스핀(sit spin), 카멜 스핀(camel spin)으로 구분되는 세 가지 기본 자세가 있다. 이들 자세로부터의 여러 가지 변형이 존재한다.</t>
  </si>
  <si>
    <t>{'word': '싯 스핀', 'start_idx': 28, 'end_idx': 31, 'type': 'POH'}</t>
  </si>
  <si>
    <t>{'word': '카멜 스핀', 'start_idx': 44, 'end_idx': 48, 'type': 'POH'}</t>
  </si>
  <si>
    <t>스텝 시퀸스에서 '쓰리 턴'(Three turn)은 스케이트 날이 곡선의 안쪽으로 회전하여 숫자 '3'을 닮은 자국을 남긴다.</t>
  </si>
  <si>
    <t>{'word': '쓰리 턴', 'start_idx': 10, 'end_idx': 13, 'type': 'POH'}</t>
  </si>
  <si>
    <t>{'word': '스케이트 날', 'start_idx': 29, 'end_idx': 34, 'type': 'EQP'}</t>
  </si>
  <si>
    <t>대부분의 수영 초보자들은 크롤 영법이나 평영 영법부터 시작해서 수영을 배운다.</t>
  </si>
  <si>
    <t>{'word': '수영', 'start_idx': 35, 'end_idx': 36, 'type': 'SPR'}</t>
  </si>
  <si>
    <t>{'word': '평영 영법', 'start_idx': 22, 'end_idx': 26, 'type': 'POH'}</t>
  </si>
  <si>
    <t>착지는 연습에 따라서 20–30 cm 정도는 더 뛸 수 있는, 멀리뛰기의 마지막 단계 기술이다.</t>
  </si>
  <si>
    <t>{'word': '멀리뛰기', 'start_idx': 35, 'end_idx': 38, 'type': 'SPR'}</t>
  </si>
  <si>
    <t>{'word': '착지', 'start_idx': 0, 'end_idx': 1, 'type': 'POH'}</t>
  </si>
  <si>
    <t>당시 최대의 태권도장이던 무덕관(1953년과 1970년 사이에 전체 태권도 수련자의 약 75%가 무덕관에서 배웠다)은 황기에 의해서 설립됐는데, 그는 어릴 때 택견을 배우고, 중국에서 태극권과 쿵푸를 배웠다.</t>
  </si>
  <si>
    <t>{'word': '무덕관', 'start_idx': 14, 'end_idx': 16, 'type': 'ORG'}</t>
  </si>
  <si>
    <t>{'word': '황기', 'start_idx': 66, 'end_idx': 67, 'type': 'PER'}</t>
  </si>
  <si>
    <t>World Taekwondo Federation (WTF) 이라는 이름으로 시작하였으나, 영어 약자가 내포할 수 있는 부정적인 뜻을 원천차단하고자 2017년 World Taekwondo (WT)로 이름을 바꾸었다.</t>
  </si>
  <si>
    <t>{'word': 'World Taekwondo Federation (WTF)', 'start_idx': 0, 'end_idx': 31, 'type': 'ORG'}</t>
  </si>
  <si>
    <t>{'word': 'World Taekwondo (WT)', 'start_idx': 88, 'end_idx': 107, 'type': 'ORG'}</t>
  </si>
  <si>
    <t>핸드 스프링(Hand Spring)은 팔 짚고 돌기. 적당한 거리에서 도움닫기를 한 후 기구 앞에서 몸을 일으켜 구르고, 두 팔을 위에서 앞으로 내리며 기구나 땅을 짚어, 몸이 앞으로 회전하는 데에 따라 손을 힘껏 밀면서 떼어 착지하는 동작이다.</t>
  </si>
  <si>
    <t>{'word': '도움닫기', 'start_idx': 39, 'end_idx': 42, 'type': 'POH'}</t>
  </si>
  <si>
    <t>{'word': '핸드 스프링(Hand Spring)', 'start_idx': 0, 'end_idx': 18, 'type': 'POH'}</t>
  </si>
  <si>
    <t>조정 단거리는 올림픽 대회·세계선수권대회 등에서 2000m의 직선 코스를 사용하는데, 경기 방법은 조수(노를 젓는 선수)가 양손에 1개씩 노를 잡고 젓는 스컬 종목과 양손으로 1개의 노를 잡고 젓는 스위퍼 종목으로 크게 나뉜다.</t>
  </si>
  <si>
    <t>{'word': '조정', 'start_idx': 0, 'end_idx': 1, 'type': 'SPR'}</t>
  </si>
  <si>
    <t>{'word': '스컬 종목', 'start_idx': 86, 'end_idx': 90, 'type': 'SPR'}</t>
  </si>
  <si>
    <t>이 영법은 때때로 오스트레일리안 크롤(Australian crawl) 또는 아메리칸 크롤(American crawl)이라고 불리지만 엄밀히 말하면 이 명칭들은 프런트 크롤 영법들(front crawl strokes)의 약간 다른 변형 영법들을 지칭한다.</t>
  </si>
  <si>
    <t>{'word': '오스트레일리안 크롤', 'start_idx': 10, 'end_idx': 19, 'type': 'POH'}</t>
  </si>
  <si>
    <t>{'word': '아메리칸 크롤', 'start_idx': 42, 'end_idx': 48, 'type': 'POH'}</t>
  </si>
  <si>
    <t>플뢰레는 17세기에 이탈리아에서 단순히 훈련용을 목적으로 하여 개발되었다.</t>
  </si>
  <si>
    <t>{'word': '이탈리아', 'start_idx': 11, 'end_idx': 14, 'type': 'LOC'}</t>
  </si>
  <si>
    <t>데쓰드롭(death drop)은 공식적으로는 flying open Axel sit spin(플라잉 오픈 악셀 싯 스핀)으로 알려져 있으며 이 스핀은 악셀 점프의 도약으로 뛰어서 도약한 발을 뒤로 차고 착지하는 플라잉 스핀이다. 데쓰 드롭과 보통의 플라잉 싯스핀은 공중에서 취하는 자세가 차이가 있는데, 데쓰드롭은 빙판과 거의 수평의 공중 자세이다.</t>
  </si>
  <si>
    <t>{'word': '플라잉 오픈 악셀 싯 스핀', 'start_idx': 51, 'end_idx': 64, 'type': 'POH'}</t>
  </si>
  <si>
    <t>{'word': '데쓰 드롭', 'start_idx': 127, 'end_idx': 131, 'type': 'POH'}</t>
  </si>
  <si>
    <t>겨루기는 기본 동작과 품새에서 터득한 공격과 방어 기술을 응용하는 기능을 익히는 방법으로, 겨루기와 맞춰겨루기로 나뉜다.</t>
  </si>
  <si>
    <t>{'word': '맞춰겨루기', 'start_idx': 56, 'end_idx': 60, 'type': 'SPR'}</t>
  </si>
  <si>
    <t>{'word': '겨루기', 'start_idx': 0, 'end_idx': 2, 'type': 'SPR'}</t>
  </si>
  <si>
    <t># 산악 자전거 경기는 상대적으로 새로운 경기로 1990년대에 활성화 되었다. 여러가지 다양한 형태가 있는데, 주된 경기는 크로스컨트리와 다운힐 경기 등이며, 4X(포 크로스)라 불리는 경기가 있다.</t>
  </si>
  <si>
    <t>{'word': '크로스컨트리', 'start_idx': 69, 'end_idx': 74, 'type': 'SPR'}</t>
  </si>
  <si>
    <t>{'word': '산악 자전거', 'start_idx': 2, 'end_idx': 7, 'type': 'SPR'}</t>
  </si>
  <si>
    <t>스파이럴 시퀀스는 하나 또는 그 이상의 스파이럴 자세와 날이 연속적으로 실행되는 것이다.</t>
  </si>
  <si>
    <t>{'word': '스파이럴 시퀀스', 'start_idx': 0, 'end_idx': 7, 'type': 'SPR'}</t>
  </si>
  <si>
    <t>{'word': '날', 'start_idx': 31, 'end_idx': 31, 'type': 'EQP'}</t>
  </si>
  <si>
    <t>우승자는 국외에 살던 영국인 제임스 모어로 쇠로 만든 타이어를 쓰는 목재 자전거를 사용하였다.</t>
  </si>
  <si>
    <t>{'word': '자전거', 'start_idx': 41, 'end_idx': 43, 'type': 'EQP'}</t>
  </si>
  <si>
    <t>{'word': '쇠로 만든 타이어', 'start_idx': 24, 'end_idx': 32, 'type': 'POH'}</t>
  </si>
  <si>
    <t>높이뛰기는 사람이 지니고 있는 탄력을 최고도로 발휘하여 얼마나 높이 뛰어오를 수 있는가를 겨루는 경기로서 높이를 재는 데에 사용되는 장대를 '바'라고 한다.</t>
  </si>
  <si>
    <t>{'word': '높이뛰기', 'start_idx': 0, 'end_idx': 3, 'type': 'SPR'}</t>
  </si>
  <si>
    <t>{'word': '장대', 'start_idx': 74, 'end_idx': 75, 'type': 'EQP'}</t>
  </si>
  <si>
    <t>하지만, 단체혼영 및 개인혼영 종목에서의 자유형은 접영, 평영, 배영 이외의 영법을 가리킨다.</t>
  </si>
  <si>
    <t>{'word': '단체혼영', 'start_idx': 5, 'end_idx': 8, 'type': 'SPR'}</t>
  </si>
  <si>
    <t>{'word': '자유형', 'start_idx': 23, 'end_idx': 25, 'type': 'POH'}</t>
  </si>
  <si>
    <t>이집트에 이 영법을 보여주는 얕은 돋을새김(bas relief) 작품이 있으며 기원전 2000년으로 거슬러 올라간다.</t>
  </si>
  <si>
    <t>{'word': '기원전 2000년', 'start_idx': 44, 'end_idx': 52, 'type': 'DAT'}</t>
  </si>
  <si>
    <t>{'word': '이집트', 'start_idx': 0, 'end_idx': 2, 'type': 'LOC'}</t>
  </si>
  <si>
    <t>국기원은 아시아태권도연맹(ATU)과 함께 2016년 11월29일 국기원에서 태권도 새품새 10개를 공식 발표하였다.</t>
  </si>
  <si>
    <t>{'word': '아시아태권도연맹', 'start_idx': 5, 'end_idx': 12, 'type': 'ORG'}</t>
  </si>
  <si>
    <t>{'word': 'ATU', 'start_idx': 14, 'end_idx': 16, 'type': 'ORG'}</t>
  </si>
  <si>
    <t>피겨 스케이팅은 1908년에 첫 번째 동계 경기로 올림픽에 포함되었다.</t>
  </si>
  <si>
    <t>{'word': '올림픽', 'start_idx': 28, 'end_idx': 30, 'type': 'ORG'}</t>
  </si>
  <si>
    <t>각 점프에서의 공중에서 수행된 회전수에 따라 싱글(1회전), 더블(2회전), 트리플(3회전), 쿼드러플(일명 쿼드),(4회전)로 판정된다.</t>
  </si>
  <si>
    <t>{'word': '더블', 'start_idx': 34, 'end_idx': 35, 'type': 'POH'}</t>
  </si>
  <si>
    <t>{'word': '쿼드러플', 'start_idx': 53, 'end_idx': 56, 'type': 'POH'}</t>
  </si>
  <si>
    <t>백스크래치(back scratch) 스핀은 스크래치 스핀과 유사하나 스크래치 스핀과는 반대되는 발로 뒤쪽방향 바깥날로 돈다.</t>
  </si>
  <si>
    <t>{'word': '백스크래치(back scratch) 스핀', 'start_idx': 0, 'end_idx': 21, 'type': 'POH'}</t>
  </si>
  <si>
    <t>{'word': '바깥날', 'start_idx': 61, 'end_idx': 63, 'type': 'EQP'}</t>
  </si>
  <si>
    <t>트랙 도로 경기는 개인 경기와 단체 경기가 있다.</t>
  </si>
  <si>
    <t>{'word': '단체 경기', 'start_idx': 17, 'end_idx': 21, 'type': 'SPR'}</t>
  </si>
  <si>
    <t>접영(蝶泳, 문화어: 나비헤염, butterfly stroke)은 수영의 종목 가운데 가장 어려운 수영 방법으로 알려져 있는 영법이다.</t>
  </si>
  <si>
    <t>플뢰레의 칼끝은 15 (± 1) 밀리초동안 상대선수의 라메 (플뢰레의 유효면을 나타내는 와이어메쉬 조끼) 를 건드려야 투셰가 된다. 이때 칼끝은 500g (± 3g)의 칼을 기준으로 500 그램힘 (4.90 N)의 힘으로 눌러야 한다.</t>
  </si>
  <si>
    <t>{'word': '플뢰레', 'start_idx': 0, 'end_idx': 2, 'type': 'SPR'}</t>
  </si>
  <si>
    <t>{'word': '라메', 'start_idx': 30, 'end_idx': 31, 'type': 'EQP'}</t>
  </si>
  <si>
    <t>공중 동작도움닫기의 스피드를 그대로 유지하여 공중을 날아서 착지 동작으로 연결시킨다.</t>
  </si>
  <si>
    <t>{'word': '공중 동작도움닫기', 'start_idx': 0, 'end_idx': 8, 'type': 'POH'}</t>
  </si>
  <si>
    <t>{'word': '착지 동작', 'start_idx': 33, 'end_idx': 37, 'type': 'POH'}</t>
  </si>
  <si>
    <t>나란히서기·모아서기·주춤서기·앞굽이·앞서기·뒷굽이·학다리서기,범서기 등으로 나뉜다.</t>
  </si>
  <si>
    <t>{'word': '앞서기', 'start_idx': 20, 'end_idx': 22, 'type': 'POH'}</t>
  </si>
  <si>
    <t>{'word': '나란히서기', 'start_idx': 0, 'end_idx': 4, 'type': 'POH'}</t>
  </si>
  <si>
    <t>기원전 10세기경 그리스에서는 신의 제전의 일부로서 육상 경기를 하였으며, 달리기·창던지기·철구던지기 등의 종목을 실시해 우수한자에게는 가축 등의 상품을 주었다.</t>
  </si>
  <si>
    <t>{'word': '육상', 'start_idx': 29, 'end_idx': 30, 'type': 'SPR'}</t>
  </si>
  <si>
    <t>{'word': '그리스', 'start_idx': 10, 'end_idx': 12, 'type': 'LOC'}</t>
  </si>
  <si>
    <t>코리언 가라데라는 용어는 1970년대에도 찾아볼 수 있다.</t>
  </si>
  <si>
    <t>{'word': '코리언 가라데', 'start_idx': 0, 'end_idx': 6, 'type': 'SPR'}</t>
  </si>
  <si>
    <t>{'word': '1970년', 'start_idx': 14, 'end_idx': 18, 'type': 'DAT'}</t>
  </si>
  <si>
    <t>긴 막대형식의 손잡이를 갖춘 프렌치 / 이탈리안 / 스패니쉬 그립이 있고, 손을 원뿔형 구조로 특정 위치에 고정시켜 쥐기 쉽게 설계된 피스톨 그립이 있다.</t>
  </si>
  <si>
    <t>{'word': '스패니쉬 그립', 'start_idx': 29, 'end_idx': 35, 'type': 'POH'}</t>
  </si>
  <si>
    <t>{'word': '설계된 피스톨 그립', 'start_idx': 71, 'end_idx': 80, 'type': 'POH'}</t>
  </si>
  <si>
    <t>오늘날에는 철이나 놋쇠 등으로 만든 금속 속에 납을 채운 공으로, 끈으로 연결된 끝에는 손잡이가 달려 있다.</t>
  </si>
  <si>
    <t>{'word': '철', 'start_idx': 6, 'end_idx': 6, 'type': 'POH'}</t>
  </si>
  <si>
    <t>{'word': '납', 'start_idx': 26, 'end_idx': 26, 'type': 'POH'}</t>
  </si>
  <si>
    <t>1973년에는 국기원이 건립되었다.</t>
  </si>
  <si>
    <t>{'word': '국기원', 'start_idx': 8, 'end_idx': 10, 'type': 'ORG'}</t>
  </si>
  <si>
    <t>{'word': '1973년', 'start_idx': 0, 'end_idx': 4, 'type': 'DAT'}</t>
  </si>
  <si>
    <t>사브르와 플뢰레에서 몸통 코드는 라메로 연결되어 득점 판독기와 하나의 회로를 이루고 있다.</t>
  </si>
  <si>
    <t>{'word': '플뢰레', 'start_idx': 5, 'end_idx': 7, 'type': 'SPR'}</t>
  </si>
  <si>
    <t>{'word': '라메', 'start_idx': 18, 'end_idx': 19, 'type': 'EQP'}</t>
  </si>
  <si>
    <t>스파이럴 시퀀스는 여자 피겨스케이팅과 페어 스케이팅에서 요구되는데, 프리 스케이트에서의 필수 스텝 시퀀스 중 하나이다.</t>
  </si>
  <si>
    <t>{'word': '프리 스케이트', 'start_idx': 38, 'end_idx': 44, 'type': 'SPR'}</t>
  </si>
  <si>
    <t>{'word': '스파이럴 시퀀스', 'start_idx': 0, 'end_idx': 7, 'type': 'POH'}</t>
  </si>
  <si>
    <t>시니어 급의 남자 싱글 스케이트 선수는 대부분 대회에서 트리플과 쿼드러플로 점프한다.</t>
  </si>
  <si>
    <t>{'word': '남자 싱글 스케이트', 'start_idx': 7, 'end_idx': 16, 'type': 'SPR'}</t>
  </si>
  <si>
    <t>{'word': '쿼드러플', 'start_idx': 36, 'end_idx': 39, 'type': 'POH'}</t>
  </si>
  <si>
    <t>2007년 기준으로 WTF에는 185개국이 회원으로 가입되었고, 약 680여만 명의 유단자가 배출되었으며, ITF에는 2007년 기준으로 102개국이 회원국으로 가입되어 있다.</t>
  </si>
  <si>
    <t>{'word': 'WTF', 'start_idx': 11, 'end_idx': 13, 'type': 'ORG'}</t>
  </si>
  <si>
    <t>{'word': '2007년', 'start_idx': 0, 'end_idx': 4, 'type': 'LOC'}</t>
  </si>
  <si>
    <t>그중에서도 기계 체조는 여러 국제 체조 경기 대회에서 실시하고 있는 경기 종목으로, 1896년 제1회 아테네 올림픽 때부터 정식 종목으로 채택되었다.</t>
  </si>
  <si>
    <t>{'word': '아테네 올림픽', 'start_idx': 57, 'end_idx': 63, 'type': 'SPR'}</t>
  </si>
  <si>
    <t>{'word': '기계 체조', 'start_idx': 6, 'end_idx': 10, 'type': 'SPR'}</t>
  </si>
  <si>
    <t>그래서 태권도는 &amp;quot;코리아 가라테&amp;quot;, 쿵후는 &amp;quot;차이니즈 가라테&amp;quot;라는 식으로 도장간판을 냈고, 주 체육위원회에서도 가라테로 등록했다.</t>
  </si>
  <si>
    <t>{'word': '태권도', 'start_idx': 4, 'end_idx': 6, 'type': 'ORG'}</t>
  </si>
  <si>
    <t>{'word': '"코리아 가라테"', 'start_idx': 9, 'end_idx': 17, 'type': 'ORG'}</t>
  </si>
  <si>
    <t>멀리뛰기는 도움닫기의 속력과 발구르기·공중 동작에 의하여 최대한 멀리 뛰어야 한다.</t>
  </si>
  <si>
    <t>검의 부품은 현재 플뢰레에서는 두 종류로 존재한다. 비전자식 (혹은 건/ 습식) 과 전자식이다.</t>
  </si>
  <si>
    <t>{'word': '플뢰레', 'start_idx': 10, 'end_idx': 12, 'type': 'POH'}</t>
  </si>
  <si>
    <t>{'word': '비전자식', 'start_idx': 29, 'end_idx': 32, 'type': 'EQP'}</t>
  </si>
  <si>
    <t>카누(canoe)는 일반적으로는 사람의 힘으로 움직이는 작고 좁은 보트이며, 조그마한 기계/가스식 전동기나 돛단배의 힘에 의지하는 종류도 있다. 영국식 영어에서는 캐나디언 카누(Canadian canoe)라고 부른다.</t>
  </si>
  <si>
    <t>{'word': '카누', 'start_idx': 0, 'end_idx': 1, 'type': 'POH'}</t>
  </si>
  <si>
    <t>{'word': '캐나디언 카누', 'start_idx': 91, 'end_idx': 97, 'type': 'POH'}</t>
  </si>
  <si>
    <t>스텝 시퀸스의 '트위즐(Twizzle)'은 한쪽 발로 여러 방향으로 회전한다.</t>
  </si>
  <si>
    <t>{'word': '트위즐', 'start_idx': 9, 'end_idx': 11, 'type': 'POH'}</t>
  </si>
  <si>
    <t>수영 교수 프레더릭 캐빌(Frederick Cavill)의 아들인 오스트레일리아의 시드니 캐빌(Sydney Cavill, 1881~1945년)은 16세 나이에 오스트레일리아의 220야드 아마추어 챔피언이었으며 접영을 탄생시킨 사람으로 인정되고 있다.</t>
  </si>
  <si>
    <t>{'word': '수영', 'start_idx': 0, 'end_idx': 1, 'type': 'SPR'}</t>
  </si>
  <si>
    <t>{'word': '시드니 캐빌', 'start_idx': 46, 'end_idx': 51, 'type': 'PER'}</t>
  </si>
  <si>
    <t>현재의 플뢰레는 18세기 남자들의 흔한 보조용 무기이자 결투용 무기로 활용하던 스몰 소드의 훈련 전용검에서 유래하였다.</t>
  </si>
  <si>
    <t>{'word': '플뢰레', 'start_idx': 4, 'end_idx': 6, 'type': 'EQP'}</t>
  </si>
  <si>
    <t>{'word': '스몰 소드의 훈련 전용검', 'start_idx': 44, 'end_idx': 56, 'type': 'EQP'}</t>
  </si>
  <si>
    <t>혼계영은 4명의 다른 수영 선수로 릴레이 경주에서, 각각 4가지 영법 중 하나를 사용하는 경기 종목이다.</t>
  </si>
  <si>
    <t>{'word': '수영', 'start_idx': 12, 'end_idx': 13, 'type': 'SPR'}</t>
  </si>
  <si>
    <t>반면, 점프 시퀀스는 점프의 여러 조로, 점프 사이에 스텝이나 날의 변화를 포함시킬 수 있다.</t>
  </si>
  <si>
    <t>{'word': '점프 시퀀스', 'start_idx': 4, 'end_idx': 9, 'type': 'POH'}</t>
  </si>
  <si>
    <t>{'word': '스텝', 'start_idx': 30, 'end_idx': 31, 'type': 'POH'}</t>
  </si>
  <si>
    <t>이탈리안 그립은 대부분의 칼날이 컵가드까지만 이어져 있는 것과 다르게, 칼의 밑동이 컵가드를 관통하여 칼자루 아래로 내려온 형태로 되어있다.</t>
  </si>
  <si>
    <t>{'word': '이탈리안 그립', 'start_idx': 0, 'end_idx': 6, 'type': 'POH'}</t>
  </si>
  <si>
    <t>{'word': '컵가드', 'start_idx': 47, 'end_idx': 49, 'type': 'POH'}</t>
  </si>
  <si>
    <t>물론 이후 태권도가 급성장하면서 정식으로 태권도 명칭을 사용했고, 주 체육위원회에서도 가라테에서 독립해서 독자적으로 태권도로 이름을 냈다.</t>
  </si>
  <si>
    <t>{'word': '태권도', 'start_idx': 65, 'end_idx': 67, 'type': 'ORG'}</t>
  </si>
  <si>
    <t>{'word': '주 체육위원회', 'start_idx': 37, 'end_idx': 43, 'type': 'ORG'}</t>
  </si>
  <si>
    <t>태권도는 1988년 하계 올림픽에서 시범 종목으로 채택되었고, 2000년 하계 올림픽부터 정식 종목으로 채택되었다.</t>
  </si>
  <si>
    <t>{'word': '2000년 하계 올림픽', 'start_idx': 35, 'end_idx': 46, 'type': 'SPR'}</t>
  </si>
  <si>
    <t>직업적인 경기에는 투르 드 프랑스, 지로 드이탈리아, 부엘타 아 에스파냐 등의 몇 주 내내 지속되는 “그랜드 투어” 스테이지 경기 뿐아니라 론데 반 플라데른과 밀란-산레모의 하루짜리 “클래식” 등이 있다.</t>
  </si>
  <si>
    <t>{'word': '지로 드이탈리아', 'start_idx': 20, 'end_idx': 27, 'type': 'SPR'}</t>
  </si>
  <si>
    <t>{'word': '부엘타 아 에스파냐', 'start_idx': 30, 'end_idx': 39, 'type': 'SPR'}</t>
  </si>
  <si>
    <t>아크로바틱 스케이팅 또는 '빙상 곡예' 또는 '익스트림 스케이팅'은 곡예의 기술과, 예술적인 체조 기술, 피겨 스케이팅을 합친 것이다.</t>
  </si>
  <si>
    <t>{'word': '아크로바틱 스케이팅', 'start_idx': 0, 'end_idx': 9, 'type': 'SPR'}</t>
  </si>
  <si>
    <t>{'word': '체조 기술', 'start_idx': 52, 'end_idx': 56, 'type': 'POH'}</t>
  </si>
  <si>
    <t>판정은 상대방의 실격, 경기 포기, 부상, 케이오(KO)로 인한 승리와 더 많은 점수로 얻은 판정승, 상대방의 감점패로 인한 감점승, 경기 우세로 인한 우세승 (10점 이상 차이 시 패배 처리), 주심의 권한으로 선언되는 알에스시(RSC)승이 있다.</t>
  </si>
  <si>
    <t>{'word': '케이오(KO)', 'start_idx': 24, 'end_idx': 30, 'type': 'POH'}</t>
  </si>
  <si>
    <t>{'word': '알에스시(RSC)', 'start_idx': 124, 'end_idx': 132, 'type': 'POH'}</t>
  </si>
  <si>
    <t>혼영(混泳, 문화어: 섞음헤염)은 접영, 배영, 평영, 자유형 순서로 각 종목을 모두 구사하는 것을 말한다.</t>
  </si>
  <si>
    <t>{'word': '평영', 'start_idx': 27, 'end_idx': 28, 'type': 'SPR'}</t>
  </si>
  <si>
    <t>영국식 영어에서는 캐나디언 카누(Canadian canoe)라고 부른다.</t>
  </si>
  <si>
    <t>{'word': '캐나디언 카누', 'start_idx': 10, 'end_idx': 16, 'type': 'SPR'}</t>
  </si>
  <si>
    <t>{'word': '영국', 'start_idx': 0, 'end_idx': 1, 'type': 'LOC'}</t>
  </si>
  <si>
    <t>corkscrew 싯스핀은 떠있는 발을 빙판에 놓은 발 뒤로 교차시킨 백(back) 싯 스핀이다.</t>
  </si>
  <si>
    <t>{'word': 'corkscrew 싯스핀', 'start_idx': 0, 'end_idx': 12, 'type': 'POH'}</t>
  </si>
  <si>
    <t>{'word': '백(back) 싯 스핀', 'start_idx': 39, 'end_idx': 50, 'type': 'POH'}</t>
  </si>
  <si>
    <t>이어달리기는 각 개인의 속력을 합리적으로 연결시킨 단체 운동으로, 계주(繼走)라고도 한다.</t>
  </si>
  <si>
    <t>{'word': '이어달리기', 'start_idx': 0, 'end_idx': 4, 'type': 'SPR'}</t>
  </si>
  <si>
    <t>{'word': '계주', 'start_idx': 37, 'end_idx': 38, 'type': 'SPR'}</t>
  </si>
  <si>
    <t>스페인이 유럽 최강자로 군림하게 된 이후, 스페인 육군은 펜싱을 양국간의 주요 전장이었던 남이탈리아를 비롯해 여러 국가로 전하였다.</t>
  </si>
  <si>
    <t>{'word': '남이탈리아', 'start_idx': 50, 'end_idx': 54, 'type': 'LOC'}</t>
  </si>
  <si>
    <t>크롤(front crawl, forward crawl, crawl stroke, Australian crawl, American crawl)은 수영 영법으로, 현재까지 개발된 영법 중 가장 빠른 영법이다.</t>
  </si>
  <si>
    <t>{'word': '수영', 'start_idx': 80, 'end_idx': 81, 'type': 'SPR'}</t>
  </si>
  <si>
    <t>{'word': '크롤', 'start_idx': 0, 'end_idx': 1, 'type': 'POH'}</t>
  </si>
  <si>
    <t>리프트는 페어 스케이팅과 아이스 댄싱에서 주요한 요소이다.</t>
  </si>
  <si>
    <t>{'word': '아이스 댄싱', 'start_idx': 14, 'end_idx': 19, 'type': 'SPR'}</t>
  </si>
  <si>
    <t>{'word': '리프트', 'start_idx': 0, 'end_idx': 2, 'type': 'POH'}</t>
  </si>
  <si>
    <t>자전거 스피드웨이는 대개 70~90m의 야외 비포장 트랙에서 겨루는 자전거 경기이다.</t>
  </si>
  <si>
    <t>{'word': '자전거 경기', 'start_idx': 38, 'end_idx': 43, 'type': 'SPR'}</t>
  </si>
  <si>
    <t>{'word': '자전거 스피드웨이', 'start_idx': 0, 'end_idx': 8, 'type': 'SPR'}</t>
  </si>
  <si>
    <t>자전거 경기에 가장 열성적인 나라로는 이탈리아, 스페인, 벨기에, 독일, 덴마크, 프랑스, 네덜란드, 스위스 등이며 미국, 호주, 룩셈부르크와 영국 등도 세계적인 지위를 가지고 있다.</t>
  </si>
  <si>
    <t>{'word': '이탈리아', 'start_idx': 21, 'end_idx': 24, 'type': 'LOC'}</t>
  </si>
  <si>
    <t>대한민국에서는 2011년 7월 30일에 MBC의 인기 버라이어티 프로그램인 무한도전에서 2000m Novice 대회에 참여한 것이 화제가 되어, 대중들에게 널리 알려졌다.</t>
  </si>
  <si>
    <t>{'word': '무한도전', 'start_idx': 42, 'end_idx': 45, 'type': 'ORG'}</t>
  </si>
  <si>
    <t>도넛(doughnut) 스핀은 등을 뒤로 휘게 한 상태로 떠있는 발의 스케이트 날을 한팔 혹은 양팔로 잡고 몸을 수평의 원모양으로 만든다.</t>
  </si>
  <si>
    <t>{'word': '도넛(doughnut) 스핀', 'start_idx': 0, 'end_idx': 14, 'type': 'POH'}</t>
  </si>
  <si>
    <t>{'word': '스케이트', 'start_idx': 39, 'end_idx': 42, 'type': 'EQP'}</t>
  </si>
  <si>
    <t>투셰에서 베기는 인정이 되지 않으며 경기를 멈추지 않는다.</t>
  </si>
  <si>
    <t>{'word': '투셰', 'start_idx': 0, 'end_idx': 1, 'type': 'SPR'}</t>
  </si>
  <si>
    <t>{'word': '베기', 'start_idx': 5, 'end_idx': 6, 'type': 'POH'}</t>
  </si>
  <si>
    <t>양쪽 팔을 모두 앞에서 뒤로 허벅지를 스쳐서 하는 수영이며, 모든 영법과 같이 힘도 필요하지만 특히 접영은 물을 잘 이용해야 좋은 기록과 올바른 자세가 나오는 영법이다.</t>
  </si>
  <si>
    <t>{'word': '수영', 'start_idx': 28, 'end_idx': 29, 'type': 'SPR'}</t>
  </si>
  <si>
    <t>{'word': '접영', 'start_idx': 56, 'end_idx': 57, 'type': 'POH'}</t>
  </si>
  <si>
    <t>플뢰레에서 머리와 팔, 다리를 찌른 경우 아따끄 농발라블 (Attaque Non-Valable, 무효타)이 된다.</t>
  </si>
  <si>
    <t>{'word': '아따끄 농발라블', 'start_idx': 23, 'end_idx': 30, 'type': 'POH'}</t>
  </si>
  <si>
    <t>국제 태권도 연맹(ITF, The International Taekwon-do Federation)은 최홍희가 1966년에 9개국(미국, 일본, 아르헨티나 등)의 승인을 받아서 서울에서 발족했다.</t>
  </si>
  <si>
    <t>{'word': '국제 태권도 연맹(ITF, The International Taekwon-do Federation)', 'start_idx': 0, 'end_idx': 54, 'type': 'ORG'}</t>
  </si>
  <si>
    <t>{'word': '최홍희', 'start_idx': 57, 'end_idx': 59, 'type': 'PER'}</t>
  </si>
  <si>
    <t>단독으로 실행되는 점프 외에, 점프는 콤비네이션, 또는 시퀀스로 실행되기도 한다.</t>
  </si>
  <si>
    <t>{'word': '콤비네이션', 'start_idx': 21, 'end_idx': 25, 'type': 'POH'}</t>
  </si>
  <si>
    <t>{'word': '시퀀스', 'start_idx': 31, 'end_idx': 33, 'type': 'POH'}</t>
  </si>
  <si>
    <t>라이트 세이버는 기존의 펜싱들과는 다르게 원형의 경기장에서 진행되며 머리와 몸통은 5점, 팔과 다리는 3점, 손은 1점이다.</t>
  </si>
  <si>
    <t>{'word': '펜싱', 'start_idx': 13, 'end_idx': 14, 'type': 'SPR'}</t>
  </si>
  <si>
    <t>{'word': '라이트 세이버', 'start_idx': 0, 'end_idx': 6, 'type': 'SPR'}</t>
  </si>
  <si>
    <t>사브르 종목을 제외한 FIE 주관 대회 사용이 금지되었다.</t>
  </si>
  <si>
    <t>{'word': 'FIE', 'start_idx': 12, 'end_idx': 14, 'type': 'ORG'}</t>
  </si>
  <si>
    <t>싱글과 페어 스케이팅 경기에서, 참가자는 '쇼트 프로그램'과 '프리 스케이팅'의 두 가지 정해진 연기를 수행해야 한다.</t>
  </si>
  <si>
    <t>{'word': '페어 스케이팅 경기', 'start_idx': 4, 'end_idx': 13, 'type': 'SPR'}</t>
  </si>
  <si>
    <t>{'word': '쇼트 프로그램', 'start_idx': 24, 'end_idx': 30, 'type': 'SPR'}</t>
  </si>
  <si>
    <t>크로스풋(crossfoot) 스핀은 한쪽 다리를 빙판의 나머지 발 뒤로 교차시키는 백 업라이트 스핀이며 이때 발을 내려놓으면 양발 스핀이 된다.</t>
  </si>
  <si>
    <t>{'word': '크로스풋(crossfoot) 스핀', 'start_idx': 0, 'end_idx': 17, 'type': 'POH'}</t>
  </si>
  <si>
    <t>{'word': '백 업라이트 스핀', 'start_idx': 46, 'end_idx': 54, 'type': 'POH'}</t>
  </si>
  <si>
    <t>겨루기는 자유겨루기의 줄임말로, 기본 기술과 품새에서 익힌 기술로 아무런 약속 없이 상대와 겨루는 방법이다.</t>
  </si>
  <si>
    <t>{'word': '자유겨루기', 'start_idx': 5, 'end_idx': 9, 'type': 'SPR'}</t>
  </si>
  <si>
    <t>그는 어려서 택견을 배웠다는 말도 있고, 일본 중앙대학을 다니면서 가라테를 배운 뒤, 군에서 복무하며 군대격투기로 가라테를 지도하였다.</t>
  </si>
  <si>
    <t>{'word': '택견', 'start_idx': 7, 'end_idx': 8, 'type': 'SPR'}</t>
  </si>
  <si>
    <t>{'word': '가라테', 'start_idx': 64, 'end_idx': 66, 'type': 'SPR'}</t>
  </si>
  <si>
    <t>체조 종류로는 맨손 체조, 기계 체조, 리듬 체조가 있다.</t>
  </si>
  <si>
    <t>{'word': '맨손 체조', 'start_idx': 8, 'end_idx': 12, 'type': 'SPR'}</t>
  </si>
  <si>
    <t>크롤 영법은 고대 이후부터 현재로 이어진다. 이집트에 이 영법을 보여주는 얕은 돋을새김(bas relief) 작품이 있으며 기원전 2000년으로 거슬러 올라간다.</t>
  </si>
  <si>
    <t>{'word': '크롤 영법', 'start_idx': 0, 'end_idx': 4, 'type': 'POH'}</t>
  </si>
  <si>
    <t>{'word': '기원전 2000년', 'start_idx': 69, 'end_idx': 77, 'type': 'DAT'}</t>
  </si>
  <si>
    <t>젊은이들 사이에 인기가 높은 경기이며 산악자전거는 레저 스포츠용으로도 많이 이용된다.</t>
  </si>
  <si>
    <t>{'word': '레저 스포츠', 'start_idx': 28, 'end_idx': 33, 'type': 'SPR'}</t>
  </si>
  <si>
    <t>{'word': '산악자전거', 'start_idx': 21, 'end_idx': 25, 'type': 'SPR'}</t>
  </si>
  <si>
    <t>오늘날과 같은 체조는 19세기 초 독일에서 프리드리히 얀이라고 하는 학교 선생이 체계를 세우기 시작했다고 한다.</t>
  </si>
  <si>
    <t>{'word': '체조', 'start_idx': 8, 'end_idx': 9, 'type': 'SPR'}</t>
  </si>
  <si>
    <t>{'word': '독일', 'start_idx': 19, 'end_idx': 20, 'type': 'LOC'}</t>
  </si>
  <si>
    <t>세단뛰기는 먼저 구른 발로 착지하는 '홉', 반대 발로 착지하는 '스텝', 멀리뛰기와 같은 방법으로 양발 착지를 하는 '점프'의 세 가지를 연속적으로 뛰어, 그 뛴 거리를 합하여 순위를 정하는 경기이다. 세단뛰기 또는 트리플 점프라고도 한다.</t>
  </si>
  <si>
    <t>{'word': '트리플 점프', 'start_idx': 122, 'end_idx': 127, 'type': 'SPR'}</t>
  </si>
  <si>
    <t>수련시 전용 신발을 신기도 하지만 경기에서는 사용하지 않는 대신 대련시 손보호대와 발보호대를 착용 하는 경우도 있다.</t>
  </si>
  <si>
    <t>{'word': '손보호대', 'start_idx': 40, 'end_idx': 43, 'type': 'EQP'}</t>
  </si>
  <si>
    <t>{'word': '발보호대', 'start_idx': 46, 'end_idx': 49, 'type': 'EQP'}</t>
  </si>
  <si>
    <t>장대높이뛰기는 장대를 꽂는 방법에서 승부가 판가름난다고 할 만큼 장대꽂기의 비중이 크다.</t>
  </si>
  <si>
    <t>{'word': '장대꽂기', 'start_idx': 36, 'end_idx': 39, 'type': 'POH'}</t>
  </si>
  <si>
    <t>태권도(跆拳道,Taekwon-Do)는 대한민국의 국기(國技)로, 무기 없이 손과 발을 이용해 공격 또는 방어하는 무도로, 빠르고 강력한 발차기 기술을 특징으로 하는 현대창작 무술이다.</t>
  </si>
  <si>
    <t>{'word': '태권도(跆拳道,Taekwon-Do)', 'start_idx': 0, 'end_idx': 18, 'type': 'ORG'}</t>
  </si>
  <si>
    <t>{'word': '국기(國技)', 'start_idx': 27, 'end_idx': 32, 'type': 'ORG'}</t>
  </si>
  <si>
    <t>이러한 새품새 개발은 44년만에 태권도 연구소를 위시한 다양한 태권도 전문가가 참여하여 개발한 연구 결과로 아시안게임, 올림픽게임등에서 겨루기 부문뿐만 아니라 품새부문에서도 정식종목 채택을 가능하게 했다는 점에서 시사하는 바가 크다.</t>
  </si>
  <si>
    <t>{'word': '겨루기', 'start_idx': 76, 'end_idx': 78, 'type': 'SPR'}</t>
  </si>
  <si>
    <t>{'word': '새품새', 'start_idx': 4, 'end_idx': 6, 'type': 'SPR'}</t>
  </si>
  <si>
    <t>스핀은 스케이터가 빙판 위에서 한 점을 중심으로 일정 자세를 유지하여 회전하는 피겨스케이팅의 요소이다.</t>
  </si>
  <si>
    <t>{'word': '피겨스케이팅', 'start_idx': 44, 'end_idx': 49, 'type': 'SPR'}</t>
  </si>
  <si>
    <t>{'word': '스핀', 'start_idx': 0, 'end_idx': 1, 'type': 'POH'}</t>
  </si>
  <si>
    <t>조정경기는 1716년 영국 조지 1세의 즉위를 기념하기 위하여 템스강에서 열린 대회가 그 시초이다. 대한민국에서는 1916년 중앙 고등보통학교에서 한강에 보트를 띄운 것이 시초이며, 1955년 제1회 전국선수권대회가 열렸다.</t>
  </si>
  <si>
    <t>{'word': '1916', 'start_idx': 64, 'end_idx': 67, 'type': 'LOC'}</t>
  </si>
  <si>
    <t>태권도 용구와 경기 시설은 용구, 도복, 상의·하의·띠로 구성되는데, 상하의는 백색 목면 천으로 만든다.</t>
  </si>
  <si>
    <t>{'word': '태권도 용구', 'start_idx': 0, 'end_idx': 5, 'type': 'EQP'}</t>
  </si>
  <si>
    <t>{'word': '백색 목면 천', 'start_idx': 44, 'end_idx': 50, 'type': 'POH'}</t>
  </si>
  <si>
    <t>펜싱은 현대 올림픽이 출범한 이래 매회 진행된 종목으로, 나머지 네 종목은 육상, 사이클, 수영, 체조이다.</t>
  </si>
  <si>
    <t>{'word': '올림픽', 'start_idx': 7, 'end_idx': 9, 'type': 'SPR'}</t>
  </si>
  <si>
    <t>조정경기는 1716년 영국 조지 1세의 즉위를 기념하기 위하여 템스강에서 열린 대회가 그 시초이다.</t>
  </si>
  <si>
    <t>{'word': '영국', 'start_idx': 12, 'end_idx': 13, 'type': 'LOC'}</t>
  </si>
  <si>
    <t>플뢰레(Fleuret)는 펜싱에 사용되는 무기들 중 하나이며, 영미권에서는 포일(foil) 로 불린다.</t>
  </si>
  <si>
    <t>{'word': '포일', 'start_idx': 42, 'end_idx': 43, 'type': 'EQP'}</t>
  </si>
  <si>
    <t>장애물달리기는 정해진 거리에 똑같은 간격으로 배치해 놓은 허들(나무로 만든 장애물)을 넘으면서 달리는 경기이다. 100m(여)·110m(남)·200m·400m 장애물경기와 물웅덩이까지 넘어야 하는 3000m 장애물경기(steeplechase)가 있는데, 스피드, 뛰어오르는 힘, 리듬 감각을 바탕으로 발구르기의 타이밍·뛰어넘기·착지 등을 조화롭게 해야 한다.</t>
  </si>
  <si>
    <t>{'word': '발구르기', 'start_idx': 168, 'end_idx': 171, 'type': 'POH'}</t>
  </si>
  <si>
    <t>본인은 오키나와 무술로도 생각한듯. 중국에서는 쿵푸를 수련했다는 말도 있다.</t>
  </si>
  <si>
    <t>{'word': '오키나와 무술', 'start_idx': 4, 'end_idx': 10, 'type': 'SPR'}</t>
  </si>
  <si>
    <t>{'word': '쿵푸', 'start_idx': 26, 'end_idx': 27, 'type': 'SPR'}</t>
  </si>
  <si>
    <t>평영이 다른 영법에 비해 상당한 지구력과 다리 힘을 요구하기 때문이다. 영법 그 자체로만 보면 경쟁 영법들 중 속도가 가장 느린 편에 속하며 모든 영법 가운데 가장 오래된 것으로 간주된다.</t>
  </si>
  <si>
    <t>{'word': '영법', 'start_idx': 82, 'end_idx': 83, 'type': 'POH'}</t>
  </si>
  <si>
    <t>{'word': '평영', 'start_idx': 0, 'end_idx': 1, 'type': 'POH'}</t>
  </si>
  <si>
    <t>스크래치(scratch) 스핀은 빙판에 있는 발의 앞에 나머지 떠있는 발을 교차시키는 업라이트 스핀이다. 뒤쪽방향의 안쪽날로 돈다.</t>
  </si>
  <si>
    <t>{'word': '스크래치(scratch) 스핀', 'start_idx': 0, 'end_idx': 15, 'type': 'POH'}</t>
  </si>
  <si>
    <t>{'word': '뒤쪽방향의 안쪽날', 'start_idx': 59, 'end_idx': 67, 'type': 'EQP'}</t>
  </si>
  <si>
    <t>그는 형제들을 따라 미국으로 가서 샌프란시스코의 올림픽 클럽에서 저명한 수영인들을 코치했다.</t>
  </si>
  <si>
    <t>{'word': '미국', 'start_idx': 11, 'end_idx': 12, 'type': 'LOC'}</t>
  </si>
  <si>
    <t>{'word': '샌프란시스코', 'start_idx': 19, 'end_idx': 24, 'type': 'LOC'}</t>
  </si>
  <si>
    <t>비전자식 플뢰레는 주로 훈련용으로 활용되나, 몇몇 단체들은 건식 플뢰레를 사용해 실전 경기를 펼치기도 한다.</t>
  </si>
  <si>
    <t>{'word': '건식 플뢰레', 'start_idx': 33, 'end_idx': 38, 'type': 'EQP'}</t>
  </si>
  <si>
    <t>늑목(Wall Bar)은 높이 약 2.5m로, 2개의 기둥 사이에 수십 개의 나무를 평행으로 가로대어 고정시킨 스웨덴 체조의 대표적인 기구이다.</t>
  </si>
  <si>
    <t>{'word': '체조', 'start_idx': 66, 'end_idx': 67, 'type': 'SPR'}</t>
  </si>
  <si>
    <t>{'word': '늑목', 'start_idx': 0, 'end_idx': 1, 'type': 'EQP'}</t>
  </si>
  <si>
    <t>플립'은 왼쪽발의 후방 안쪽날에서 도약하며, 오른쪽 토 픽에 의해 올려진다.</t>
  </si>
  <si>
    <t>{'word': '플립', 'start_idx': 1, 'end_idx': 2, 'type': 'POH'}</t>
  </si>
  <si>
    <t>{'word': '토 픽', 'start_idx': 30, 'end_idx': 32, 'type': 'EQP'}</t>
  </si>
  <si>
    <t>펜싱 사범들은 주로 더 무거운 자켓을 사용하는데, 이는 플라스틱 폼으로 이루어져 있어 찌르는 공격에 완충 작용을 하여 준다.</t>
  </si>
  <si>
    <t>{'word': '자켓', 'start_idx': 17, 'end_idx': 18, 'type': 'EQP'}</t>
  </si>
  <si>
    <t>{'word': '플라스틱', 'start_idx': 31, 'end_idx': 34, 'type': 'POH'}</t>
  </si>
  <si>
    <t>그 중 소위 '5대관'(청도관, 송무관, 무덕관, 지도관, 창무관)이 가장 유명하였는데, 이 도장들이 분화하여 생긴 9개관이 1960년대에 합쳐져서 현대 태권도의 모체가 된다.</t>
  </si>
  <si>
    <t>{'word': '태권도', 'start_idx': 86, 'end_idx': 88, 'type': 'SPR'}</t>
  </si>
  <si>
    <t>{'word': "'5대관'", 'start_idx': 7, 'end_idx': 11, 'type': 'LOC'}</t>
  </si>
  <si>
    <t>그리고 리듬 체조는 1984년 제23회 로스앤젤레스 올림픽 때부터 정식 종목이 되었다.</t>
  </si>
  <si>
    <t>{'word': '로스앤젤레스 올림픽', 'start_idx': 22, 'end_idx': 31, 'type': 'SPR'}</t>
  </si>
  <si>
    <t>{'word': '리듬 체조', 'start_idx': 4, 'end_idx': 8, 'type': 'SPR'}</t>
  </si>
  <si>
    <t>Text</t>
    <phoneticPr fontId="4" type="noConversion"/>
  </si>
  <si>
    <t>id</t>
    <phoneticPr fontId="4" type="noConversion"/>
  </si>
  <si>
    <t>annotator</t>
    <phoneticPr fontId="4" type="noConversion"/>
  </si>
  <si>
    <t>subject</t>
    <phoneticPr fontId="4" type="noConversion"/>
  </si>
  <si>
    <t>word</t>
    <phoneticPr fontId="4" type="noConversion"/>
  </si>
  <si>
    <t>start_idx</t>
    <phoneticPr fontId="4" type="noConversion"/>
  </si>
  <si>
    <t>end_idx</t>
    <phoneticPr fontId="4" type="noConversion"/>
  </si>
  <si>
    <t>type</t>
    <phoneticPr fontId="4" type="noConversion"/>
  </si>
  <si>
    <t>sub</t>
    <phoneticPr fontId="4" type="noConversion"/>
  </si>
  <si>
    <t>test_add</t>
    <phoneticPr fontId="4" type="noConversion"/>
  </si>
  <si>
    <t>sub_add</t>
    <phoneticPr fontId="4" type="noConversion"/>
  </si>
  <si>
    <t>obj_add</t>
    <phoneticPr fontId="4" type="noConversion"/>
  </si>
  <si>
    <t>rem_add</t>
    <phoneticPr fontId="4" type="noConversion"/>
  </si>
  <si>
    <t>rel_add</t>
    <phoneticPr fontId="4" type="noConversion"/>
  </si>
  <si>
    <t>obj</t>
    <phoneticPr fontId="4" type="noConversion"/>
  </si>
  <si>
    <t>rel</t>
    <phoneticPr fontId="4" type="noConversion"/>
  </si>
  <si>
    <t>word_end</t>
    <phoneticPr fontId="4" type="noConversion"/>
  </si>
  <si>
    <t>s_start</t>
    <phoneticPr fontId="4" type="noConversion"/>
  </si>
  <si>
    <t>word_len</t>
    <phoneticPr fontId="4" type="noConversion"/>
  </si>
  <si>
    <t>e_start</t>
    <phoneticPr fontId="4" type="noConversion"/>
  </si>
  <si>
    <t>si_start</t>
    <phoneticPr fontId="4" type="noConversion"/>
  </si>
  <si>
    <t>s_len</t>
    <phoneticPr fontId="4" type="noConversion"/>
  </si>
  <si>
    <t>t_start</t>
    <phoneticPr fontId="4" type="noConversion"/>
  </si>
  <si>
    <t>e_end</t>
    <phoneticPr fontId="4" type="noConversion"/>
  </si>
  <si>
    <t>object</t>
    <phoneticPr fontId="4" type="noConversion"/>
  </si>
  <si>
    <t>前</t>
    <phoneticPr fontId="4" type="noConversion"/>
  </si>
  <si>
    <t>test</t>
    <phoneticPr fontId="4" type="noConversion"/>
  </si>
  <si>
    <t>relation</t>
    <phoneticPr fontId="4" type="noConversion"/>
  </si>
  <si>
    <t>관계_없음</t>
  </si>
  <si>
    <t>단체:창립일</t>
  </si>
  <si>
    <t>단체:별칭</t>
  </si>
  <si>
    <t>단체:관계단체</t>
  </si>
  <si>
    <t>종목: 선수</t>
  </si>
  <si>
    <t>종목: 관계종목</t>
  </si>
  <si>
    <t>종목: 별칭</t>
  </si>
  <si>
    <t>종목: 사용 기술</t>
  </si>
  <si>
    <t>종목: 사용 도구</t>
  </si>
  <si>
    <t>도구: 기원</t>
  </si>
  <si>
    <t>도구: 재료</t>
  </si>
  <si>
    <t>종목:기원</t>
  </si>
  <si>
    <t>no_relation</t>
  </si>
  <si>
    <t>org:founded</t>
  </si>
  <si>
    <t>org:alteranate_names</t>
  </si>
  <si>
    <t>org:is_relative_to</t>
  </si>
  <si>
    <t>spr:player</t>
  </si>
  <si>
    <t>spr:is_relative_to</t>
  </si>
  <si>
    <t>spr:alternate_names</t>
  </si>
  <si>
    <t>spr:used_skill</t>
  </si>
  <si>
    <t>spr:used_in</t>
  </si>
  <si>
    <t>eqp:originated_from</t>
  </si>
  <si>
    <t>eqp:made_of</t>
  </si>
  <si>
    <t>spr:originated_from</t>
  </si>
  <si>
    <t>Remark</t>
    <phoneticPr fontId="4" type="noConversion"/>
  </si>
  <si>
    <t>SUB 타입이 잘못 설정됨</t>
    <phoneticPr fontId="4" type="noConversion"/>
  </si>
  <si>
    <t>OBJ 타입이 잘못 설정됨</t>
    <phoneticPr fontId="4" type="noConversion"/>
  </si>
  <si>
    <t>SUB OBJ 설정이 바뀜</t>
    <phoneticPr fontId="4" type="noConversion"/>
  </si>
  <si>
    <t>더 좋은 개체를 추릴 수 있음</t>
    <phoneticPr fontId="4" type="noConversion"/>
  </si>
  <si>
    <t>다른 개체를 추릴 수 있음</t>
    <phoneticPr fontId="4" type="noConversion"/>
  </si>
  <si>
    <t>sum</t>
    <phoneticPr fontId="4" type="noConversion"/>
  </si>
  <si>
    <t>before_sub</t>
    <phoneticPr fontId="4" type="noConversion"/>
  </si>
  <si>
    <t>after_sub</t>
    <phoneticPr fontId="4" type="noConversion"/>
  </si>
  <si>
    <t>after_obj</t>
    <phoneticPr fontId="4" type="noConversion"/>
  </si>
  <si>
    <t>"</t>
    <phoneticPr fontId="4" type="noConversion"/>
  </si>
  <si>
    <t>" 와 "</t>
    <phoneticPr fontId="4" type="noConversion"/>
  </si>
  <si>
    <t>" 는 "</t>
    <phoneticPr fontId="4" type="noConversion"/>
  </si>
  <si>
    <t>" 에서 "</t>
    <phoneticPr fontId="4" type="noConversion"/>
  </si>
  <si>
    <t>"는 관계가 없습니다</t>
    <phoneticPr fontId="4" type="noConversion"/>
  </si>
  <si>
    <t>"에 만들어졌습니다</t>
    <phoneticPr fontId="4" type="noConversion"/>
  </si>
  <si>
    <t>"의 또 다른 이름입니다.</t>
    <phoneticPr fontId="4" type="noConversion"/>
  </si>
  <si>
    <t>"는 관계가 있는 단체입니다.</t>
    <phoneticPr fontId="4" type="noConversion"/>
  </si>
  <si>
    <t>"선수가 활약하고 있습니다</t>
    <phoneticPr fontId="4" type="noConversion"/>
  </si>
  <si>
    <t>"는 관계 있는 종목입니다</t>
    <phoneticPr fontId="4" type="noConversion"/>
  </si>
  <si>
    <t>"의 또다른 이름입니다</t>
    <phoneticPr fontId="4" type="noConversion"/>
  </si>
  <si>
    <t>"라는 기술이 사용됩니다.</t>
    <phoneticPr fontId="4" type="noConversion"/>
  </si>
  <si>
    <t>" 도구가 사용됩니다</t>
    <phoneticPr fontId="4" type="noConversion"/>
  </si>
  <si>
    <t>"에서 유래됐습니다</t>
    <phoneticPr fontId="4" type="noConversion"/>
  </si>
  <si>
    <t>"로 구성되어 있습니다.</t>
    <phoneticPr fontId="4" type="noConversion"/>
  </si>
  <si>
    <t>"에서 유래됐습니다.</t>
    <phoneticPr fontId="4" type="noConversion"/>
  </si>
  <si>
    <t>rel_1</t>
    <phoneticPr fontId="4" type="noConversion"/>
  </si>
  <si>
    <t>rel_2</t>
    <phoneticPr fontId="4" type="noConversion"/>
  </si>
  <si>
    <t>rel_3</t>
    <phoneticPr fontId="4" type="noConversion"/>
  </si>
  <si>
    <t>EQP</t>
    <phoneticPr fontId="4" type="noConversion"/>
  </si>
  <si>
    <t>sub_add_2</t>
    <phoneticPr fontId="4" type="noConversion"/>
  </si>
  <si>
    <t>obj_add_2</t>
    <phoneticPr fontId="4" type="noConversion"/>
  </si>
  <si>
    <t>None</t>
  </si>
  <si>
    <t>POH</t>
    <phoneticPr fontId="4" type="noConversion"/>
  </si>
  <si>
    <t>None</t>
    <phoneticPr fontId="4" type="noConversion"/>
  </si>
  <si>
    <t>{'word': '기관총', 'start_idx': 1, 'end_idx': 3, 'type': 'EQP'}</t>
  </si>
  <si>
    <t>{'word': '탄환', 'start_idx': 144, 'end_idx': 145, 'type': 'EQP'}</t>
  </si>
  <si>
    <t>{'word': '대련', 'start_idx': 0, 'end_idx': 1, 'type': 'SPR'}</t>
  </si>
  <si>
    <t>{'word': '겨루기', 'start_idx': 3, 'end_idx': 5, 'type': 'SPR'}</t>
  </si>
  <si>
    <t>{'word': '1990년대', 'start_idx': 25, 'end_idx': 30, 'type': 'DAT'}</t>
  </si>
  <si>
    <t>{'word': '산악 자전거 경기', 'start_idx': 0, 'end_idx': 8, 'type': 'SPR'}</t>
  </si>
  <si>
    <t>{'word': '스파이럴', 'start_idx': 79, 'end_idx': 82, 'type': 'POH'}</t>
  </si>
  <si>
    <t>jiho</t>
  </si>
  <si>
    <t>경기의 방식과 규정은 전통적인 형태에서부터 현대적인 형태까지 다양하다.</t>
  </si>
  <si>
    <t>{'word': '현대적인 형태', 'start_idx': 24, 'end_idx': 30, 'type': 'POH'}</t>
  </si>
  <si>
    <t>{'word': '전통적인 형태', 'start_idx': 12, 'end_idx': 18, 'type': 'POH'}</t>
  </si>
  <si>
    <t>정지기술은 3회를 넘지 말아야 하며, 봉 위에서 봉 아래로 양 손을 동시에 놓았다 잡는 기술이 포함되어야 된다.</t>
  </si>
  <si>
    <t>{'word': '봉', 'start_idx': 27, 'end_idx': 27, 'type': 'POH'}</t>
  </si>
  <si>
    <t>{'word': '정지기술', 'start_idx': 0, 'end_idx': 3, 'type': 'POH'}</t>
  </si>
  <si>
    <t>철봉운동은 철봉에 매달린 자세에서 진동을 이용하여 행하는 운동으로 기계체조 종목 가운데 가장 불안한 요소를 가지고 있으며, 기술이 다양하여 관중의 입장에서 관전하기에는 흥미있는 종목이다.</t>
  </si>
  <si>
    <t>{'word': '철봉운동', 'start_idx': 0, 'end_idx': 3, 'type': 'SPR'}</t>
  </si>
  <si>
    <t>{'word': '기계체조', 'start_idx': 37, 'end_idx': 40, 'type': 'SPR'}</t>
  </si>
  <si>
    <t>영국에서 주로 발전한 캐치애즈 캐치 캔 스타일이라 불리는 레슬링은 관절꺽기를 포함하며 현대에는 시합으로 활성화 되어 있지 않다.</t>
  </si>
  <si>
    <t>{'word': '레슬링', 'start_idx': 32, 'end_idx': 34, 'type': 'SPR'}</t>
  </si>
  <si>
    <t>이 방식에 의하면 매 포인트마다 서브권이 계속 바뀔 경우, 이전에 서브를 하지 않았던 선수가 서브를 하게 된다.</t>
  </si>
  <si>
    <t>{'word': '포인트', 'start_idx': 12, 'end_idx': 14, 'type': 'POH'}</t>
  </si>
  <si>
    <t>{'word': '서브권', 'start_idx': 18, 'end_idx': 20, 'type': 'POH'}</t>
  </si>
  <si>
    <t>양쪽 스코어가 20점으로 동점이 되면, 어느 한 쪽이 2점을 앞설 때까지 게임을 계속 진행한다.</t>
  </si>
  <si>
    <t>{'word': '동점', 'start_idx': 14, 'end_idx': 15, 'type': 'POH'}</t>
  </si>
  <si>
    <t>{'word': '스코어', 'start_idx': 3, 'end_idx': 5, 'type': 'POH'}</t>
  </si>
  <si>
    <t>반구되어서 날아오는 공이 자신의 몸을 기준으로 좌측상단, 우측상단으로 올 때 사용할 수 있는 기술인데, 왼쪽으로 날아오는 경우는 왼쪽발을 축발로 하여 점프한후 라운드 스매시를 구사하면 되고, 반대로 우측 상단으로 날아오는 경우에는 오른쪽 발을 축발로 하여 점프한 후 스매시를 구사할 수 있다.</t>
  </si>
  <si>
    <t>{'word': '왼쪽발', 'start_idx': 72, 'end_idx': 74, 'type': 'POH'}</t>
  </si>
  <si>
    <t>{'word': '라운드 스매시', 'start_idx': 89, 'end_idx': 95, 'type': 'POH'}</t>
  </si>
  <si>
    <t>마루는 선수들이 헝겊으로 덮인 국제 체조 연맹에서 공인규격으로 인정되고 있는 사방 12m 길이의 탄력을 가진 마루 위에서 여러 가지 동작을 연기하는 종목이다.</t>
  </si>
  <si>
    <t>{'word': '마루', 'start_idx': 0, 'end_idx': 1, 'type': 'EQP'}</t>
  </si>
  <si>
    <t>{'word': '헝겊', 'start_idx': 9, 'end_idx': 10, 'type': 'POH'}</t>
  </si>
  <si>
    <t>체조경기로서 처음 양상을 띤 것은 1814년에 얀이 경기대회를 열었던 때였다.</t>
  </si>
  <si>
    <t>{'word': '체조경기', 'start_idx': 0, 'end_idx': 3, 'type': 'SPR'}</t>
  </si>
  <si>
    <t>{'word': '얀', 'start_idx': 26, 'end_idx': 26, 'type': 'PER'}</t>
  </si>
  <si>
    <t>리듬 체조(문화어: 예술체조)(리듬 體操, rhythmic gymnastics)는 율동적인 움직임과 음악을 결합시켜 개성을 풍부하게 표현하는 운동으로, 개인 또는 팀이 곤봉, 후프, 공, 리본, 줄 등의 기구를 이용한다.</t>
  </si>
  <si>
    <t>{'word': '리듬 체조', 'start_idx': 0, 'end_idx': 4, 'type': 'SPR'}</t>
  </si>
  <si>
    <t>{'word': '공', 'start_idx': 102, 'end_idx': 102, 'type': 'EQP'}</t>
  </si>
  <si>
    <t>어쨌거나, 마라톤 전투에서 패전한 페르시아의 후예국인 이란은 마라톤을 금기하고 있다.</t>
  </si>
  <si>
    <t>{'word': '마라톤', 'start_idx': 6, 'end_idx': 8, 'type': 'SPR'}</t>
  </si>
  <si>
    <t>{'word': '이란', 'start_idx': 30, 'end_idx': 31, 'type': 'LOC'}</t>
  </si>
  <si>
    <t>경기 기술은 자세유지영역과 진동영역으로 구분된다.</t>
  </si>
  <si>
    <t>{'word': '자세유지영역', 'start_idx': 7, 'end_idx': 12, 'type': 'POH'}</t>
  </si>
  <si>
    <t>{'word': '진동영역', 'start_idx': 15, 'end_idx': 18, 'type': 'POH'}</t>
  </si>
  <si>
    <t>각 도마경기는 도움닫기 두 다리를 모아 발구름하여 몸을 뛰워(발구름 직전 도움짚기를 할 수도 있고 할지 않을 수도 있다) 양손을 마 위에 놓고 간단하게 버티는 동작으로 이루어진다.</t>
  </si>
  <si>
    <t>{'word': '도마경기', 'start_idx': 2, 'end_idx': 5, 'type': 'SPR'}</t>
  </si>
  <si>
    <t>{'word': '마', 'start_idx': 72, 'end_idx': 72, 'type': 'EQP'}</t>
  </si>
  <si>
    <t>경기 종목 필수 요소는 도마를 제외하고 남자는 10개 요소, 여자는 8개 요소가 포함되어야 한다.</t>
  </si>
  <si>
    <t>{'word': '경기 종목', 'start_idx': 0, 'end_idx': 4, 'type': 'SPR'}</t>
  </si>
  <si>
    <t>{'word': '도마', 'start_idx': 13, 'end_idx': 14, 'type': 'SPR'}</t>
  </si>
  <si>
    <t>42~48cm의 간격을 두고 나란히 세워져 있는 2개의 나무봉은 절단면이 지름 5cm의 타원형이며, 길이 3.5m, 높이 1.7m으로서 국제 체조 연맹에서 공인규격으로 인정한 것이다.</t>
  </si>
  <si>
    <t>{'word': '나무봉', 'start_idx': 31, 'end_idx': 33, 'type': 'POH'}</t>
  </si>
  <si>
    <t>{'word': '국제 체조 연맹', 'start_idx': 76, 'end_idx': 83, 'type': 'ORG'}</t>
  </si>
  <si>
    <t>맨손 체조(-體操, free gymnastics)는 일정한 기구나 시설을 이용하지 않고 맨몸으로 하는 체조로, 역사가 가장 길다.</t>
  </si>
  <si>
    <t>{'word': '맨손 체조', 'start_idx': 0, 'end_idx': 4, 'type': 'SPR'}</t>
  </si>
  <si>
    <t>{'word': 'free gymnastics', 'start_idx': 11, 'end_idx': 25, 'type': 'SPR'}</t>
  </si>
  <si>
    <t>#퀸튜플보기(quintuple bogey)는 파보다 5타 많은 타수를 뜻한다. 하지만 이런건 파6에서만 해당하기에 잘쓰진않는다.</t>
  </si>
  <si>
    <t>{'word': '파6', 'start_idx': 52, 'end_idx': 53, 'type': 'POH'}</t>
  </si>
  <si>
    <t>{'word': '퀸튜플보기', 'start_idx': 1, 'end_idx': 5, 'type': 'POH'}</t>
  </si>
  <si>
    <t>1896년, 근대 올림픽 부활과 함께 레슬링은 올림픽 정식 종목이 되었다.</t>
  </si>
  <si>
    <t>{'word': '올림픽 정식 종목', 'start_idx': 26, 'end_idx': 34, 'type': 'SPR'}</t>
  </si>
  <si>
    <t>{'word': '레슬링', 'start_idx': 21, 'end_idx': 23, 'type': 'SPR'}</t>
  </si>
  <si>
    <t>그러나 두 개의 바가 높이의 차이가 있기 때문에 철봉과 같이 다이나믹한 크게 돌기 형태는 불가능하다.</t>
  </si>
  <si>
    <t>{'word': '철봉', 'start_idx': 27, 'end_idx': 28, 'type': 'SPR'}</t>
  </si>
  <si>
    <t>{'word': '돌기', 'start_idx': 43, 'end_idx': 44, 'type': 'POH'}</t>
  </si>
  <si>
    <t>특히 많은 여자 선수들이 세계 무대에서 괄목할만한 성과를 거두었는데, 2013년까지 박세리(5회), 박인비(4회), 신지애(2회), 박지은, 장정, 김주연, 지은희, 유소연, 최나연, 유선영(이상 1회) 등의 선수들이 메이저 대회에서 우승을 차지하며 골프에 대한 대중적 관심과 인기도 향상에 기여하였다.</t>
  </si>
  <si>
    <t>{'word': '골프', 'start_idx': 140, 'end_idx': 141, 'type': 'SPR'}</t>
  </si>
  <si>
    <t>{'word': '박지은', 'start_idx': 74, 'end_idx': 76, 'type': 'PER'}</t>
  </si>
  <si>
    <t>1743년에 JACK BROUGHTON이 최초의 규정을 발표하여 &amp;quot;BROUGHTON&amp;quot;이라 정하였다.</t>
  </si>
  <si>
    <t>{'word': '1743년', 'start_idx': 0, 'end_idx': 4, 'type': 'LOC'}</t>
  </si>
  <si>
    <t>{'word': 'JACK BROUGHTON', 'start_idx': 7, 'end_idx': 20, 'type': 'PER'}</t>
  </si>
  <si>
    <t>정식 경기는 18홀, 레크레이션의 경우 9홀로 구성된 코스에서 진행되며 타수가 적은 순서대로 선수들의 순위가 결정된다.</t>
  </si>
  <si>
    <t>{'word': '레크레이션', 'start_idx': 12, 'end_idx': 16, 'type': 'POH'}</t>
  </si>
  <si>
    <t>{'word': '정식 경기', 'start_idx': 0, 'end_idx': 4, 'type': 'POH'}</t>
  </si>
  <si>
    <t>리듬 체조는 19세기 후반 유럽의 덩컨, 라반, 보데 등이 체조에서 미적 표현, 자연성을 강조한 율동적인 체조를 창안하면서 비롯되었다.</t>
  </si>
  <si>
    <t>{'word': '19세기 후반 유럽', 'start_idx': 7, 'end_idx': 16, 'type': 'LOC'}</t>
  </si>
  <si>
    <t>첫 번째 도마연기 후에 선수는 재빨리 시작 위치로 돌아와 기구 주심의 신호에 따라 두 번째 도마연기를 해야 한다.</t>
  </si>
  <si>
    <t>{'word': '도마연기', 'start_idx': 5, 'end_idx': 8, 'type': 'SPR'}</t>
  </si>
  <si>
    <t>{'word': '신호', 'start_idx': 39, 'end_idx': 40, 'type': 'POH'}</t>
  </si>
  <si>
    <t>이 요청에 따라 종래의 마라톤 거리 40 km 235m보다 약 2km가 긴 마라톤 코스가 정해졌으며, 이 새로운 거리는 런던 올림픽 이래로 마라톤의 공식 거리로 채택되었다.</t>
  </si>
  <si>
    <t>{'word': '마라톤', 'start_idx': 13, 'end_idx': 15, 'type': 'SPR'}</t>
  </si>
  <si>
    <t>{'word': '런던 올림픽', 'start_idx': 67, 'end_idx': 72, 'type': 'DAT'}</t>
  </si>
  <si>
    <t>그리하여 1887년에는 기본적인 규정이 확립되었다.</t>
  </si>
  <si>
    <t>{'word': '기본적인 규정', 'start_idx': 13, 'end_idx': 19, 'type': 'POH'}</t>
  </si>
  <si>
    <t>{'word': '1887년', 'start_idx': 5, 'end_idx': 9, 'type': 'DAT'}</t>
  </si>
  <si>
    <t>프로 권투의 4대 기구로 세계 복싱 협회(WBA)(NBA 전미복싱협회가 전신), 세계 복싱 평의회(WBC), 국제 복싱 연맹(IBF), 세계 복싱 기구(WBO)가 있다.</t>
  </si>
  <si>
    <t>{'word': 'WBA', 'start_idx': 23, 'end_idx': 25, 'type': 'ORG'}</t>
  </si>
  <si>
    <t>{'word': '세계 복싱 협회', 'start_idx': 14, 'end_idx': 21, 'type': 'ORG'}</t>
  </si>
  <si>
    <t>경기 종류에는 홀마다 개별적으로 대결하는 매치플레이방식과 전체 코스에서 소요된 타수를 세는 스트로크 플레이방식이 있다.</t>
  </si>
  <si>
    <t>{'word': '매치플레이방식', 'start_idx': 23, 'end_idx': 29, 'type': 'SPR'}</t>
  </si>
  <si>
    <t>{'word': '스트로크 플레이방식', 'start_idx': 51, 'end_idx': 60, 'type': 'SPR'}</t>
  </si>
  <si>
    <t>한국 동호인들 사이에서는 각 홀의 규정 타수의 2배를 치면 이를 '양파', '더블파'라고 하며 그 이후로는 세지 않는다.</t>
  </si>
  <si>
    <t>{'word': '규정 타수의 2배', 'start_idx': 19, 'end_idx': 27, 'type': 'POH'}</t>
  </si>
  <si>
    <t>{'word': '더블파', 'start_idx': 43, 'end_idx': 45, 'type': 'POH'}</t>
  </si>
  <si>
    <t>그 후 기독교 신부들의 요청으로 로마 황제 호노라스가 권투를 금지했고, 서로마 제국의 멸망과 더불어 음지에서 행해지던 권투가 부활하기 시작하였다.</t>
  </si>
  <si>
    <t>{'word': '권투', 'start_idx': 66, 'end_idx': 67, 'type': 'SPR'}</t>
  </si>
  <si>
    <t>{'word': '로마', 'start_idx': 18, 'end_idx': 19, 'type': 'LOC'}</t>
  </si>
  <si>
    <t>초기 회원국은 뉴질랜드, 덴마크, 스코틀랜드, 아일랜드, 웨일스, 잉글랜드, 캐나다, 그리고 프랑스였다.</t>
  </si>
  <si>
    <t>{'word': '초기 회원국', 'start_idx': 0, 'end_idx': 5, 'type': 'POH'}</t>
  </si>
  <si>
    <t>{'word': '뉴질랜드', 'start_idx': 8, 'end_idx': 11, 'type': 'LOC'}</t>
  </si>
  <si>
    <t>팔꿈치나 무릎으로 상대방의 복부를 지르거나 팔을 등뒤로돌려 90도 이상으로 꺾는 행위.</t>
  </si>
  <si>
    <t>{'word': '복부', 'start_idx': 15, 'end_idx': 16, 'type': 'POH'}</t>
  </si>
  <si>
    <t>{'word': '행위', 'start_idx': 45, 'end_idx': 46, 'type': 'POH'}</t>
  </si>
  <si>
    <t>기계 체조(器械體操, 문화어: 예술체조)는 기계를 사용하는 모든 예술적 체조를 말한다.</t>
  </si>
  <si>
    <t>{'word': '기계를 사용하는 모든 예술적 체조', 'start_idx': 24, 'end_idx': 41, 'type': 'SPR'}</t>
  </si>
  <si>
    <t>{'word': '예술체조', 'start_idx': 17, 'end_idx': 20, 'type': 'SPR'}</t>
  </si>
  <si>
    <t>더블 파 (Double Par)는 주어진 파보다 두 배만큼 치는 타수를 지칭한다. (예: Par3 홀에서는 6번 치는 경우)</t>
  </si>
  <si>
    <t>{'word': '더블 파', 'start_idx': 0, 'end_idx': 3, 'type': 'POH'}</t>
  </si>
  <si>
    <t>{'word': '파', 'start_idx': 23, 'end_idx': 23, 'type': 'POH'}</t>
  </si>
  <si>
    <t>1920년 안트베르펜 올림픽대회에서는 계영에 크롤을 적용하였다.</t>
  </si>
  <si>
    <t>{'word': '계영', 'start_idx': 21, 'end_idx': 22, 'type': 'SPR'}</t>
  </si>
  <si>
    <t>{'word': '1920년', 'start_idx': 0, 'end_idx': 4, 'type': 'DAT'}</t>
  </si>
  <si>
    <t>파(par)는 각 홀의 표준 타수를 일컫는 말이다.</t>
  </si>
  <si>
    <t>{'word': '표준 타수', 'start_idx': 13, 'end_idx': 17, 'type': 'POH'}</t>
  </si>
  <si>
    <t>{'word': '파', 'start_idx': 0, 'end_idx': 0, 'type': 'POH'}</t>
  </si>
  <si>
    <t>맞추지 못한 표적이 있을 경우, 개인 경기에서는 표적 하나당 1분의 페널티 타임이 추가되며 그 밖의 경기에서는 표적 하나당 페널티 루프를 1회 더 돌아야 한다.</t>
  </si>
  <si>
    <t>{'word': '페널티 루프', 'start_idx': 69, 'end_idx': 74, 'type': 'POH'}</t>
  </si>
  <si>
    <t>{'word': '개인 경기', 'start_idx': 18, 'end_idx': 22, 'type': 'POH'}</t>
  </si>
  <si>
    <t>현재와 같이 6종목으로 확정된 것은 1930년 세계체조선수권대회 때, 올림픽에서는 1932년 하계 올림픽.</t>
  </si>
  <si>
    <t>{'word': '6종목', 'start_idx': 7, 'end_idx': 9, 'type': 'SPR'}</t>
  </si>
  <si>
    <t>{'word': '1930년 세계체조선수권대회 때', 'start_idx': 20, 'end_idx': 36, 'type': 'DAT'}</t>
  </si>
  <si>
    <t>페어웨이는 티에서 그린까지 잔디를 잘 다듬어 놓은 지역.</t>
  </si>
  <si>
    <t>{'word': '티', 'start_idx': 6, 'end_idx': 6, 'type': 'POH'}</t>
  </si>
  <si>
    <t>{'word': '페어웨이', 'start_idx': 0, 'end_idx': 3, 'type': 'POH'}</t>
  </si>
  <si>
    <t>이 때문에 그립을 신속히 교체하기에는 오버그립이 더 편리하다.</t>
  </si>
  <si>
    <t>{'word': '오버그립', 'start_idx': 21, 'end_idx': 24, 'type': 'POH'}</t>
  </si>
  <si>
    <t>{'word': '그립', 'start_idx': 6, 'end_idx': 7, 'type': 'POH'}</t>
  </si>
  <si>
    <t>종목별 경기와 함께 이를 바탕으로 한 단체종합과 개인종합으로 나뉜다.</t>
  </si>
  <si>
    <t>{'word': '단체종합', 'start_idx': 21, 'end_idx': 24, 'type': 'SPR'}</t>
  </si>
  <si>
    <t>{'word': '종목별 경기', 'start_idx': 0, 'end_idx': 5, 'type': 'SPR'}</t>
  </si>
  <si>
    <t>이 세개의 경기가 &amp;quot;그랜드 투어&amp;quot;를 구성한다.</t>
  </si>
  <si>
    <t>{'word': '세개의 경기', 'start_idx': 2, 'end_idx': 7, 'type': 'POH'}</t>
  </si>
  <si>
    <t>{'word': '그랜드 투어', 'start_idx': 11, 'end_idx': 16, 'type': 'POH'}</t>
  </si>
  <si>
    <t>복식 경기에서는 서브 리턴을 할 때 서브의 각을 보고 빠르게 푸시를 하는 경우가 많다.</t>
  </si>
  <si>
    <t>{'word': '복식 경기', 'start_idx': 0, 'end_idx': 4, 'type': 'SPR'}</t>
  </si>
  <si>
    <t>{'word': '서브 리턴', 'start_idx': 9, 'end_idx': 13, 'type': 'POH'}</t>
  </si>
  <si>
    <t>전문 선수들의 경기에서는 강한 지구력과 민첩성, 근력, 스피드, 정확성이 요구된다.</t>
  </si>
  <si>
    <t>{'word': '강한 지구력', 'start_idx': 14, 'end_idx': 19, 'type': 'POH'}</t>
  </si>
  <si>
    <t>{'word': '전문 선수들', 'start_idx': 0, 'end_idx': 5, 'type': 'POH'}</t>
  </si>
  <si>
    <t>윗몸 운동의 종류로는 굽혀 일으키기·손짚고 엎드려 몸 뒤로 굽히기·누워 다리 위로 들기·누워 윗몸 휘돌리기·누워 다리 들어 옆으로 내리기·휘돌리기 등이 있다.</t>
  </si>
  <si>
    <t>{'word': '윗몸 운동', 'start_idx': 0, 'end_idx': 4, 'type': 'SPR'}</t>
  </si>
  <si>
    <t>{'word': '누워 다리 위로 들기', 'start_idx': 37, 'end_idx': 47, 'type': 'SPR'}</t>
  </si>
  <si>
    <t>손과 공 사이의 저항을 줄여 소리가 나지 않도록 연기할 때 주의해야 한다.</t>
  </si>
  <si>
    <t>{'word': '연기', 'start_idx': 27, 'end_idx': 28, 'type': 'SPR'}</t>
  </si>
  <si>
    <t>{'word': '공', 'start_idx': 3, 'end_idx': 3, 'type': 'EQP'}</t>
  </si>
  <si>
    <t>줄의 기본 동작으로는 뜀뛰기(줄넘기, 뛰어넘기), 흔들기, 돌리기, 던지기, 잡기, 받기, 휘감기 등이 있다.</t>
  </si>
  <si>
    <t>{'word': '뜀뛰기', 'start_idx': 12, 'end_idx': 14, 'type': 'POH'}</t>
  </si>
  <si>
    <t>{'word': '줄', 'start_idx': 0, 'end_idx': 0, 'type': 'SPR'}</t>
  </si>
  <si>
    <t>갤러리(gallery)는 골프 경기의 구경꾼을 말한다.</t>
  </si>
  <si>
    <t>{'word': '골프', 'start_idx': 14, 'end_idx': 15, 'type': 'SPR'}</t>
  </si>
  <si>
    <t>{'word': '갤러리', 'start_idx': 0, 'end_idx': 2, 'type': 'POH'}</t>
  </si>
  <si>
    <t>특히 흔들기와 도약이 가장 중요한 내용이다.</t>
  </si>
  <si>
    <t>{'word': '도약', 'start_idx': 8, 'end_idx': 9, 'type': 'POH'}</t>
  </si>
  <si>
    <t>{'word': '흔들기', 'start_idx': 3, 'end_idx': 5, 'type': 'POH'}</t>
  </si>
  <si>
    <t>주먹에 글러브를 끼고 펀치만을 사용해 상대방 허리벨트 위의 상반신 전면과 측면만을 공격한다.</t>
  </si>
  <si>
    <t>{'word': '글러브', 'start_idx': 4, 'end_idx': 6, 'type': 'EQP'}</t>
  </si>
  <si>
    <t>{'word': '펀치', 'start_idx': 12, 'end_idx': 13, 'type': 'POH'}</t>
  </si>
  <si>
    <t>이단평행봉 연기는 매달리기와 흔들기가 대부분이지만 매우 다양한 동작을 연기할 수 있다.</t>
  </si>
  <si>
    <t>{'word': '이단평행봉 연기', 'start_idx': 0, 'end_idx': 7, 'type': 'SPR'}</t>
  </si>
  <si>
    <t>{'word': '매우 다양한 동작', 'start_idx': 28, 'end_idx': 36, 'type': 'POH'}</t>
  </si>
  <si>
    <t>코트는 직사각형의 공간으로 중앙에 네트가 세워진다.</t>
  </si>
  <si>
    <t>{'word': '네트', 'start_idx': 19, 'end_idx': 20, 'type': 'EQP'}</t>
  </si>
  <si>
    <t>{'word': '코트', 'start_idx': 0, 'end_idx': 1, 'type': 'EQP'}</t>
  </si>
  <si>
    <t>잉글랜드 지역에서 배드민턴이 생겨난 직후, 덴마크가 유럽의 전통적인 배드민턴 강국으로 합류했다.</t>
  </si>
  <si>
    <t>{'word': '배드민턴', 'start_idx': 10, 'end_idx': 13, 'type': 'SPR'}</t>
  </si>
  <si>
    <t>{'word': '잉글랜드 지역', 'start_idx': 0, 'end_idx': 6, 'type': 'LOC'}</t>
  </si>
  <si>
    <t>단체 경기는 5명의 선수가 한 팀을 이루어 한 개의 자유 종목을 연기하여 순위를 결정한다.</t>
  </si>
  <si>
    <t>{'word': '자유 종목', 'start_idx': 29, 'end_idx': 33, 'type': 'SPR'}</t>
  </si>
  <si>
    <t>{'word': '5명의 선수', 'start_idx': 7, 'end_idx': 12, 'type': 'POH'}</t>
  </si>
  <si>
    <t>계주는 각 팀은 4명으로 구성되며, 각 주자는 남자 7.5km, 여자 6km를 주행하고, 남자 2.5km, 여자 2km를 주행 후 엎드려 쏴를 시행하며, 남자 5km, 여자 4km를 주행 후 서서 쏴를 시행한다.</t>
  </si>
  <si>
    <t>{'word': '계주', 'start_idx': 0, 'end_idx': 1, 'type': 'SPR'}</t>
  </si>
  <si>
    <t>{'word': '엎드려 쏴', 'start_idx': 73, 'end_idx': 77, 'type': 'POH'}</t>
  </si>
  <si>
    <t>1946년 국제 아마추어 권투 연맹이 영국 런던에서 발족하였고, 1964년 기준 전 세계의 권투인구는 182개국에서 약 200만명이 활동하고 있다.</t>
  </si>
  <si>
    <t>{'word': '국제 아마추어 권투 연맹', 'start_idx': 6, 'end_idx': 18, 'type': 'ORG'}</t>
  </si>
  <si>
    <t>{'word': '영국 런던', 'start_idx': 21, 'end_idx': 25, 'type': 'LOC'}</t>
  </si>
  <si>
    <t>가장 효과적인 드라이브는 네트 바로위를 지나가게하는 드라이브인데, 이렇게 네트위로 드라이브를 구사하게되면 상대방 입장에서는 공격할 수 있는 방법이 극히 제한된다.</t>
  </si>
  <si>
    <t>{'word': '네트', 'start_idx': 14, 'end_idx': 15, 'type': 'EQP'}</t>
  </si>
  <si>
    <t>{'word': '드라이브', 'start_idx': 29, 'end_idx': 32, 'type': 'POH'}</t>
  </si>
  <si>
    <t>마라톤 선수들은 5km 지점마다 마련된 식음수대의 음식물을 이용할 수 있으며, 물을 적신 스펀지를 사용할 수 있을 뿐이다.</t>
  </si>
  <si>
    <t>{'word': '마라톤', 'start_idx': 0, 'end_idx': 2, 'type': 'SPR'}</t>
  </si>
  <si>
    <t>{'word': '물을 적신 스펀지', 'start_idx': 44, 'end_idx': 52, 'type': 'EQP'}</t>
  </si>
  <si>
    <t>일반적으로 단식과 복식 라인이 모두 그려져 있는데, 복식 코트가 단식 코트보다 네트 방향 폭이 더 넓으며, 길이는 동일하다.</t>
  </si>
  <si>
    <t>{'word': '복식 코트', 'start_idx': 29, 'end_idx': 33, 'type': 'EQP'}</t>
  </si>
  <si>
    <t>{'word': '네트', 'start_idx': 44, 'end_idx': 45, 'type': 'EQP'}</t>
  </si>
  <si>
    <t>이 거리는 1908년 런던 올림픽에서 최초로 채택되었다.</t>
  </si>
  <si>
    <t>{'word': '런던 올림픽', 'start_idx': 12, 'end_idx': 17, 'type': 'ORG'}</t>
  </si>
  <si>
    <t>{'word': '1908년', 'start_idx': 6, 'end_idx': 10, 'type': 'DAT'}</t>
  </si>
  <si>
    <t>직업적인 팀과 반-직업적인 팀의 경우, 팀의 이름은 대개 주된 스판서의 이름과 같다.</t>
  </si>
  <si>
    <t>{'word': '팀', 'start_idx': 5, 'end_idx': 5, 'type': 'POH'}</t>
  </si>
  <si>
    <t>{'word': '스판서', 'start_idx': 35, 'end_idx': 37, 'type': 'POH'}</t>
  </si>
  <si>
    <t>일반적으로는 수비할 시간을 벌어주는 수비적인 스트로크이기도 하지만 예외적으로, 상대방이 반구한 공이 공중에 뜬경우에 자신의 자세가 흐트러져 공격권을 잡지 못할 경우에도 클리어를 구사하는 경우도 있다.</t>
  </si>
  <si>
    <t>{'word': '공', 'start_idx': 53, 'end_idx': 53, 'type': 'EQP'}</t>
  </si>
  <si>
    <t>{'word': '자신의 자세', 'start_idx': 65, 'end_idx': 70, 'type': 'POH'}</t>
  </si>
  <si>
    <t>#노르딕 스키(Nordic ski)는 스키 부츠의 앞쪽은 바인딩에 고정되어 있고, 뒷꿈치는 스키에서 떨어지는 형태의 스키이다. 부츠 앞쪽부터 뒷쪽까지 스키에 고정하는 알파인 스키와 대조된다.</t>
  </si>
  <si>
    <t>{'word': '알파인 스키', 'start_idx': 93, 'end_idx': 98, 'type': 'SPR'}</t>
  </si>
  <si>
    <t>{'word': '노르딕 스키', 'start_idx': 1, 'end_idx': 6, 'type': 'SPR'}</t>
  </si>
  <si>
    <t>도그레그(dog-leg)는 활처럼 휘어진 홀을 이른다.</t>
  </si>
  <si>
    <t>{'word': '도그레그', 'start_idx': 0, 'end_idx': 3, 'type': 'POH'}</t>
  </si>
  <si>
    <t>{'word': '홀', 'start_idx': 23, 'end_idx': 23, 'type': 'POH'}</t>
  </si>
  <si>
    <t>티샷(tee shot)은 티잉 그라운드에서 하는 샷 제1타를 말한다.</t>
  </si>
  <si>
    <t>{'word': '제1타', 'start_idx': 29, 'end_idx': 31, 'type': 'POH'}</t>
  </si>
  <si>
    <t>{'word': '티잉 그라운드', 'start_idx': 14, 'end_idx': 20, 'type': 'POH'}</t>
  </si>
  <si>
    <t>#야간 경기는 주로 더 많은 관중을 끌어내기 위해 실기한다. 예로는 슈롭셔 스타 뉴포트 야간경기가 있다.</t>
  </si>
  <si>
    <t>{'word': '슈롭셔 스타 뉴포트', 'start_idx': 38, 'end_idx': 47, 'type': 'POH'}</t>
  </si>
  <si>
    <t>{'word': '야간 경기', 'start_idx': 1, 'end_idx': 5, 'type': 'POH'}</t>
  </si>
  <si>
    <t>또한 링 체조는 앞뒤로 신체를 움직이는 스윙 동작, 힘, 자세유지를 결합한 체조이다. 힘을 필요로 하는 대표적인 동작으로는 크로스라고도 하는 아이언크로스(두 팔을 양쪽으로 쭉 뻗고 몸을 수직으로 유지하는 동작)와 레버(몸을 수평으로 쭉 뻗은 상태에서 두 팔을 곧게 펴고 매달려 있는 것)가 있다.</t>
  </si>
  <si>
    <t>{'word': '링 체조', 'start_idx': 3, 'end_idx': 6, 'type': 'SPR'}</t>
  </si>
  <si>
    <t>{'word': '아이언크로스', 'start_idx': 79, 'end_idx': 84, 'type': 'POH'}</t>
  </si>
  <si>
    <t>서브한 셔틀콕은 서버의 대각선 방향의 상대편 숏서비스라인을 넘어가야 하며, 그렇지 못하면 폴트(fault)가 되어 서버가 실점하게 된다.</t>
  </si>
  <si>
    <t>{'word': '셔틀콕', 'start_idx': 4, 'end_idx': 6, 'type': 'EQP'}</t>
  </si>
  <si>
    <t>{'word': '숏서비스라인', 'start_idx': 25, 'end_idx': 30, 'type': 'POH'}</t>
  </si>
  <si>
    <t>꾸미기 체조는 2명 이상이 평면적·입체적인 여러 가지 모양을 꾸며, 균형잡힌 아름다움을 표현하는 운동이다.</t>
  </si>
  <si>
    <t>{'word': '운동', 'start_idx': 54, 'end_idx': 55, 'type': 'POH'}</t>
  </si>
  <si>
    <t>{'word': '꾸미기 체조', 'start_idx': 0, 'end_idx': 5, 'type': 'SPR'}</t>
  </si>
  <si>
    <t>3~4km 지점에서 엎드려 쏴 사격을 하며, 7km 지점에서 서서 쏴 사격을 한다.</t>
  </si>
  <si>
    <t>{'word': '엎드려 쏴 사격', 'start_idx': 11, 'end_idx': 18, 'type': 'SPR'}</t>
  </si>
  <si>
    <t>{'word': '서서 쏴 사격', 'start_idx': 34, 'end_idx': 40, 'type': 'SPR'}</t>
  </si>
  <si>
    <t>다음 샷부터는 공을 티 위에 얹어 놓지 않고 홀 아웃할 때까지 그라운드에 놓인 대로 친다.</t>
  </si>
  <si>
    <t>{'word': '공', 'start_idx': 8, 'end_idx': 8, 'type': 'EQP'}</t>
  </si>
  <si>
    <t>{'word': '티', 'start_idx': 11, 'end_idx': 11, 'type': 'EQP'}</t>
  </si>
  <si>
    <t>기구가 몸에 닿았을 때는 한 번마다 0.2 감점, 한두 발 걸으면 0.3 감점.</t>
  </si>
  <si>
    <t>{'word': '몸', 'start_idx': 4, 'end_idx': 4, 'type': 'POH'}</t>
  </si>
  <si>
    <t>{'word': '기구', 'start_idx': 0, 'end_idx': 1, 'type': 'EQP'}</t>
  </si>
  <si>
    <t>아웃 오브 바운즈(out of bounds)는 코스 이외의 플레이 금지구역을 뜻한다.</t>
  </si>
  <si>
    <t>{'word': 'out of bounds', 'start_idx': 10, 'end_idx': 22, 'type': 'POH'}</t>
  </si>
  <si>
    <t>{'word': '아웃 오브 바운즈', 'start_idx': 0, 'end_idx': 8, 'type': 'POH'}</t>
  </si>
  <si>
    <t>스파르타는 아테네의 위급한 상황을 듣고 원군을 파병하는데 동의 하였으나 스파르타의 전통에 따라 만월에 출전하는 것이 금지되어 있기 때문에 아테네는 스파르타의 도움없이 몇몇 동맹도시의 도움으로 마라톤 평야에서 페르시아군을 물리쳤다고 한다.</t>
  </si>
  <si>
    <t>{'word': '아테네', 'start_idx': 77, 'end_idx': 79, 'type': 'POH'}</t>
  </si>
  <si>
    <t>{'word': '마라톤 평야', 'start_idx': 107, 'end_idx': 112, 'type': 'LOC'}</t>
  </si>
  <si>
    <t>개인 종합은 단체 종합 예선의 개인 종합 성적의 상위 성적자가 남자는 6종목, 여자는 4종목의 경기를 펼쳐 그 합계 득점을 가지고 순위를 매긴다.</t>
  </si>
  <si>
    <t>{'word': '개인 종합', 'start_idx': 0, 'end_idx': 4, 'type': 'POH'}</t>
  </si>
  <si>
    <t>{'word': '개인 종합 성적', 'start_idx': 17, 'end_idx': 24, 'type': 'POH'}</t>
  </si>
  <si>
    <t>개인 종합 경기는 후프, 곤봉 ,볼, 리본 연기의 합산 점수로 순위를 결정한다.</t>
  </si>
  <si>
    <t>{'word': '볼', 'start_idx': 18, 'end_idx': 18, 'type': 'SPR'}</t>
  </si>
  <si>
    <t>{'word': '후프', 'start_idx': 10, 'end_idx': 11, 'type': 'SPR'}</t>
  </si>
  <si>
    <t>만약 드롭을 구사할때만 특이한 동작이 나온다면, 그 스트로크는 드롭으로서의 가치를 잃게된다.</t>
  </si>
  <si>
    <t>{'word': '특이한 동작', 'start_idx': 13, 'end_idx': 18, 'type': 'POH'}</t>
  </si>
  <si>
    <t>{'word': '드롭', 'start_idx': 3, 'end_idx': 4, 'type': 'POH'}</t>
  </si>
  <si>
    <t>아마추어 경기 등 형식에 덜 구애받는 경기의 경우, 셔틀콕을 공중에 쳐서 땅에 떨어졌을 때 코르크가 향한 방향의 선수 혹은 팀이 먼저 서브를 하는 결정 방식을 사용하기도 한다.</t>
  </si>
  <si>
    <t>{'word': '셔틀콕', 'start_idx': 29, 'end_idx': 31, 'type': 'EQP'}</t>
  </si>
  <si>
    <t>{'word': '코르크', 'start_idx': 51, 'end_idx': 53, 'type': 'POH'}</t>
  </si>
  <si>
    <t>단, 복식의 경우 서비스 라인의 길이가 단식보다 짧은데, 이 점은 초보자들이 흔히 혼란을 일으키는 부분이기도 하다.</t>
  </si>
  <si>
    <t>{'word': '단식', 'start_idx': 22, 'end_idx': 23, 'type': 'SPR'}</t>
  </si>
  <si>
    <t>{'word': '복식', 'start_idx': 3, 'end_idx': 4, 'type': 'SPR'}</t>
  </si>
  <si>
    <t>즉, 흔들기를 중심으로 하는 기술, 두 손을 떼고 하는 기술, 정지기술, 힘을 나타내는 기술 등을 복합시켜서 구성한다.</t>
  </si>
  <si>
    <t>{'word': '힘을 나타내는 기술', 'start_idx': 41, 'end_idx': 50, 'type': 'POH'}</t>
  </si>
  <si>
    <t>{'word': '두 손을 떼고 하는 기술', 'start_idx': 20, 'end_idx': 32, 'type': 'POH'}</t>
  </si>
  <si>
    <t>국제 체조 연맹에 의하여 규정된 기구는 높은 봉의 높이가 마룻바닥으로부터 2.3m, 낮은 봉의 길이가 1.5m라는 점을 제외하고는 그 크기와 구조가 남자체조에 사용되는 평행봉과 같다.</t>
  </si>
  <si>
    <t>{'word': '평행봉', 'start_idx': 94, 'end_idx': 96, 'type': 'EQP'}</t>
  </si>
  <si>
    <t>{'word': '국제 체조 연맹', 'start_idx': 0, 'end_idx': 7, 'type': 'ORG'}</t>
  </si>
  <si>
    <t>아래에서 소개할 각각의 기술들에는 대부분 포핸드와 백핸드 두가지 방법을 타구할 수 있다.</t>
  </si>
  <si>
    <t>{'word': '타구', 'start_idx': 40, 'end_idx': 41, 'type': 'POH'}</t>
  </si>
  <si>
    <t>{'word': '각각의 기술들', 'start_idx': 9, 'end_idx': 15, 'type': 'POH'}</t>
  </si>
  <si>
    <t>후프의 기본 동작으로는 굴리기, 흔들기, 돌리기, 허리 굽혀 빠지기, 던지기, 잡기(쥐기), 넘기, 휘돌리기 등이 있으며, 후프를 움직일 때에는 면이 바르게 유지되도록 해야 한다. 후프는 지름 80~90cm의 목재 또는 플라스틱 제품으로 규정되어 있다.</t>
  </si>
  <si>
    <t>{'word': '후프', 'start_idx': 0, 'end_idx': 1, 'type': 'SPR'}</t>
  </si>
  <si>
    <t>{'word': '후프', 'start_idx': 101, 'end_idx': 102, 'type': 'EQP'}</t>
  </si>
  <si>
    <t>여기서 각 선수의 서비스 코트 위치는 바로 이전 랠리가 시작되었던 시점의 위치를 말한다.</t>
  </si>
  <si>
    <t>{'word': '서비스 코트', 'start_idx': 10, 'end_idx': 15, 'type': 'EQP'}</t>
  </si>
  <si>
    <t>{'word': '랠리', 'start_idx': 27, 'end_idx': 28, 'type': 'POH'}</t>
  </si>
  <si>
    <t>파4은 파를 하려면 홀컵에 4번만에 들어가야 하는홀을 말한다.</t>
  </si>
  <si>
    <t>{'word': '홀컵', 'start_idx': 11, 'end_idx': 12, 'type': 'EQP'}</t>
  </si>
  <si>
    <t>{'word': '파', 'start_idx': 4, 'end_idx': 4, 'type': 'POH'}</t>
  </si>
  <si>
    <t>원점프/라운드 스매시는 상대방이 임팩트 타이밍을 계산할 수 있는 스탠딩, 서전트 점프 스매시와 달리 2스텝이 필요한거리를 한번의 점프로 대신해 반박자 빠르게 템포를 가져가서 상대방의 수비 타이밍을 어긋나게 하는 방식의 스매시이다.</t>
  </si>
  <si>
    <t>{'word': '원점프/라운드 스매시', 'start_idx': 0, 'end_idx': 10, 'type': 'POH'}</t>
  </si>
  <si>
    <t>{'word': '스탠딩, 서전트 점프 스매시', 'start_idx': 36, 'end_idx': 50, 'type': 'POH'}</t>
  </si>
  <si>
    <t>경기내용에는 걷기·뛰기·점프·돌기·앉기 외에도 눕는 자세, 균형유지 자세, 정지된 자세 등이 들어가야 한다.</t>
  </si>
  <si>
    <t>{'word': '눕는 자세, 균형유지 자세, 정지된 자세', 'start_idx': 26, 'end_idx': 47, 'type': 'POH'}</t>
  </si>
  <si>
    <t>{'word': '걷기·뛰기·점프·돌기·앉기', 'start_idx': 7, 'end_idx': 20, 'type': 'POH'}</t>
  </si>
  <si>
    <t>스트로크는 일반적으로 포핸드 스트로크와 백핸드 스트로크 두가지로 구분한다.</t>
  </si>
  <si>
    <t>{'word': '포핸드 스트로크', 'start_idx': 12, 'end_idx': 19, 'type': 'POH'}</t>
  </si>
  <si>
    <t>{'word': '백핸드 스트로크', 'start_idx': 22, 'end_idx': 29, 'type': 'POH'}</t>
  </si>
  <si>
    <t>경기시 주로 사용되는 기술로서는 다리엇갈리기, 선회돌기, 틀어옮기기, 들어옮기기 등의 기술이 있다.</t>
  </si>
  <si>
    <t>{'word': '틀어옮기기', 'start_idx': 32, 'end_idx': 36, 'type': 'SPR'}</t>
  </si>
  <si>
    <t>{'word': '다리엇갈리기', 'start_idx': 18, 'end_idx': 23, 'type': 'SPR'}</t>
  </si>
  <si>
    <t>동작을 다양하게 변화시키고, 왼쪽과 오른쪽으로 동작의 방향을 바꾸는 것도 필요하다.</t>
  </si>
  <si>
    <t>{'word': '오른쪽', 'start_idx': 20, 'end_idx': 22, 'type': 'POH'}</t>
  </si>
  <si>
    <t>{'word': '왼쪽', 'start_idx': 16, 'end_idx': 17, 'type': 'POH'}</t>
  </si>
  <si>
    <t>리본 모양으로는 좌우 흔들기, 원, 물결(파도), 호, 나선, 용수철 등이 있다.</t>
  </si>
  <si>
    <t>{'word': '리본', 'start_idx': 0, 'end_idx': 1, 'type': 'EQP'}</t>
  </si>
  <si>
    <t>{'word': '원', 'start_idx': 17, 'end_idx': 17, 'type': 'POH'}</t>
  </si>
  <si>
    <t>기계체조의 역사는 고대 이집트에서 시작했다고 보는 것이 옳다.</t>
  </si>
  <si>
    <t>{'word': '기계체조', 'start_idx': 0, 'end_idx': 3, 'type': 'SPR'}</t>
  </si>
  <si>
    <t>{'word': '고대 이집트', 'start_idx': 10, 'end_idx': 15, 'type': 'LOC'}</t>
  </si>
  <si>
    <t>하이클리어에 비해 드리븐클리어는 공격적인 스트로크라고 할 수 있다.</t>
  </si>
  <si>
    <t>{'word': '하이클리어에', 'start_idx': 0, 'end_idx': 5, 'type': 'POH'}</t>
  </si>
  <si>
    <t>{'word': '스트로크', 'start_idx': 23, 'end_idx': 26, 'type': 'POH'}</t>
  </si>
  <si>
    <t>계영에서 중요한 것은 인계할 때의 출발과 골 터치이다.</t>
  </si>
  <si>
    <t>{'word': '계영', 'start_idx': 0, 'end_idx': 1, 'type': 'SPR'}</t>
  </si>
  <si>
    <t>{'word': '골 터치', 'start_idx': 23, 'end_idx': 26, 'type': 'POH'}</t>
  </si>
  <si>
    <t>어프로치(approach)는 가까운 거리에서 핀을 향해 모아 치는 일을 가리켜 말한다.</t>
  </si>
  <si>
    <t>{'word': '어프로치', 'start_idx': 0, 'end_idx': 3, 'type': 'POH'}</t>
  </si>
  <si>
    <t>{'word': '핀', 'start_idx': 25, 'end_idx': 25, 'type': 'EQP'}</t>
  </si>
  <si>
    <t>#리듬 체조(문화어: 예술체조)(리듬 體操, rhythmic gymnastics)는 율동적인 움직임과 음악을 결합시켜 개성을 풍부하게 표현하는 운동으로, 개인 또는 팀이 곤봉, 후프, 공, 리본, 줄 등의 기구를 이용한다. 신체조(新體操) 또는 현대리듬체조(modern rhythmic gymnastics)라고도 한다.</t>
  </si>
  <si>
    <t>{'word': '리듬 체조', 'start_idx': 1, 'end_idx': 5, 'type': 'SPR'}</t>
  </si>
  <si>
    <t>{'word': '신체조', 'start_idx': 125, 'end_idx': 127, 'type': 'SPR'}</t>
  </si>
  <si>
    <t>거의 모든 기계체조 관련 영화가 주인공이 역경을 이겨내고 성공하는 내용을 담은 것으로서 1986년작인 〈American Anthem(불타는 도전)〉, 2006년작인 〈Peaceful Warrior(평화로운 전사)〉, 2006년작인 〈Stick It(스틱잇)〉 모두 그렇다.</t>
  </si>
  <si>
    <t>{'word': '기계체조', 'start_idx': 6, 'end_idx': 9, 'type': 'SPR'}</t>
  </si>
  <si>
    <t>{'word': '1986년', 'start_idx': 49, 'end_idx': 53, 'type': 'DAT'}</t>
  </si>
  <si>
    <t>#이러한 초기 경기는 리에주-바스토뉴-리에주(1892년창립), 파리-루베이(1896년), 투르 드 프랑스(1903년), 밀란-산 레모와 지로 디 롬바르디아(1905), 지로 디탈리아(1909년), 론드 반 플란데른(1913년) 등이 있다. 이 경기들은 세계의 다른 경기대회에 모범을 제시하고 있다.</t>
  </si>
  <si>
    <t>{'word': '초기 경기', 'start_idx': 5, 'end_idx': 9, 'type': 'POH'}</t>
  </si>
  <si>
    <t>{'word': '모범', 'start_idx': 154, 'end_idx': 155, 'type': 'POH'}</t>
  </si>
  <si>
    <t>주로 체력 향상을 위해 실시하는 운동으로, 서로의 몸무게에 따라 저항력을 주고 받으면서 상대의 운동을 보조해야 한다.</t>
  </si>
  <si>
    <t>{'word': '체력 향상', 'start_idx': 3, 'end_idx': 7, 'type': 'POH'}</t>
  </si>
  <si>
    <t>{'word': '운동', 'start_idx': 18, 'end_idx': 19, 'type': 'SPR'}</t>
  </si>
  <si>
    <t>굵기가 굵어질수록 내구성이 증가하지만 타구감이 떨어지기 때문에 많은 선수들이 가는 스트링을 선호한다.</t>
  </si>
  <si>
    <t>{'word': '내구성', 'start_idx': 10, 'end_idx': 12, 'type': 'POH'}</t>
  </si>
  <si>
    <t>{'word': '타구감', 'start_idx': 21, 'end_idx': 23, 'type': 'POH'}</t>
  </si>
  <si>
    <t>엘리트 선수들의 경우에는 공격하는데 있어서 주도권을 빼앗기지 않기 위해 숏서브를 날카로운 코스로 다시 반구하거나, 셔틀콕에 회전을 주어 다시 네트 바로앞에 떨어뜨리는 등 여러가지 방법을 구사한다.</t>
  </si>
  <si>
    <t>{'word': '셔틀콕', 'start_idx': 64, 'end_idx': 66, 'type': 'EQP'}</t>
  </si>
  <si>
    <t>{'word': '회전', 'start_idx': 69, 'end_idx': 70, 'type': 'POH'}</t>
  </si>
  <si>
    <t>복식에서는 코트 뒷쪽 라인에서 0.78미터(2피트) 떨어진 롱서비스라인이 사용된다.</t>
  </si>
  <si>
    <t>{'word': '코트', 'start_idx': 6, 'end_idx': 7, 'type': 'EQP'}</t>
  </si>
  <si>
    <t>{'word': '롱서비스라인', 'start_idx': 33, 'end_idx': 38, 'type': 'POH'}</t>
  </si>
  <si>
    <t>드롭을 구사하는데 있어 가장 중요한점은 스매시, 클리어와 동일한 자세로 나와야 한다는 점이다.</t>
  </si>
  <si>
    <t>{'word': '스매시', 'start_idx': 22, 'end_idx': 24, 'type': 'POH'}</t>
  </si>
  <si>
    <t>{'word': '드롭', 'start_idx': 0, 'end_idx': 1, 'type': 'POH'}</t>
  </si>
  <si>
    <t>상당히 공격적인 스트로크이며, 상대방이 반응하기도 쉽지 않기 때문에 푸시의 성공은 곧 득점이라고 보아도 무방할 정도이다.</t>
  </si>
  <si>
    <t>{'word': '푸시', 'start_idx': 38, 'end_idx': 39, 'type': 'POH'}</t>
  </si>
  <si>
    <t>{'word': '스트로크', 'start_idx': 9, 'end_idx': 12, 'type': 'POH'}</t>
  </si>
  <si>
    <t>라켓의 재질은 탄소 섬유 합성수지(강화 플라스틱)에서 강철까지 다양하며, 여러가지 소재를 복합적으로 사용하여 강도 및 탄성을 증가시킨다.</t>
  </si>
  <si>
    <t>{'word': '라켓의 재질', 'start_idx': 0, 'end_idx': 5, 'type': 'EQP'}</t>
  </si>
  <si>
    <t>{'word': '탄소 섬유 합성수지', 'start_idx': 8, 'end_idx': 17, 'type': 'POH'}</t>
  </si>
  <si>
    <t>그립의 재질은 폴리우레탄 합성수지에서 타월형(towelling) 재질까지 다양하다.</t>
  </si>
  <si>
    <t>{'word': '그립', 'start_idx': 0, 'end_idx': 1, 'type': 'EQP'}</t>
  </si>
  <si>
    <t>{'word': '폴리우레탄 합성수지', 'start_idx': 8, 'end_idx': 17, 'type': 'POH'}</t>
  </si>
  <si>
    <t>1813년 독일의 얀이 자기가 경영하는 하젠하이데의 체조장에서 수평봉을 만들어 시작한 것이 철봉 운동이다.</t>
  </si>
  <si>
    <t>{'word': '하젠하이데의 체조장', 'start_idx': 22, 'end_idx': 31, 'type': 'LOC'}</t>
  </si>
  <si>
    <t>{'word': '독일', 'start_idx': 6, 'end_idx': 7, 'type': 'LOC'}</t>
  </si>
  <si>
    <t>뒷 단어 gymnastics는 독일어로 김나스틱(Gymnastik)이라고 하는데 이것은 그리스어의 ‘벌거숭이의’를 뜻하는 김노스(γυμνος)에서 따온 것으로서, 그리스시대에 달리기, 뛰기, 던지기, 권투, 레슬링 등을 벌거벗은 채 행하던 데에서 유래한다.</t>
  </si>
  <si>
    <t>{'word': 'gymnastics', 'start_idx': 5, 'end_idx': 14, 'type': 'SPR'}</t>
  </si>
  <si>
    <t>{'word': '그리스', 'start_idx': 91, 'end_idx': 93, 'type': 'LOC'}</t>
  </si>
  <si>
    <t>1980년대 후반에는 선수 인구만 3만 명에 이르는 등, 정책적으로 리듬체조를 키우고 있다고 보도되었고, 1991년 유니버시아드에서는 리경희가 3관왕, 리숙영이 2관왕에 오르기도 하였다.</t>
  </si>
  <si>
    <t>{'word': '리듬체조', 'start_idx': 38, 'end_idx': 41, 'type': 'SPR'}</t>
  </si>
  <si>
    <t>{'word': '리경희', 'start_idx': 75, 'end_idx': 77, 'type': 'PER'}</t>
  </si>
  <si>
    <t>제1회 세계선수권대회는 1958년에 개최되었으며, 1960년 제8회 스쿼밸리 동계올림픽 대회부터 올림픽 정식 종목으로 채택 되었다.</t>
  </si>
  <si>
    <t>{'word': '제1회 세계선수권대회', 'start_idx': 0, 'end_idx': 10, 'type': 'POH'}</t>
  </si>
  <si>
    <t>{'word': '1958년', 'start_idx': 13, 'end_idx': 17, 'type': 'DAT'}</t>
  </si>
  <si>
    <t>여자기계체조는 1928년 하계 올림픽부터 채택되었으며 초기 올림픽 대회에서는 매번 연기 종목이 달랐으나 결국 1952년부터 완전한 체제를 갖추어 남자 경기는 7개 종목으로 규정되어, 철봉, 평행봉, 안마, 도마, 링, 마루운동과 이 6개 종목 연기점수를 합해 평가하는 종합경기 종목으로 나뉘었다.</t>
  </si>
  <si>
    <t>{'word': '남자 경기', 'start_idx': 81, 'end_idx': 85, 'type': 'SPR'}</t>
  </si>
  <si>
    <t>{'word': '철봉, 평행봉, 안마, 도마, 링, 마루운동', 'start_idx': 102, 'end_idx': 125, 'type': 'POH'}</t>
  </si>
  <si>
    <t>다음은 셔틀콕의 속도를 시험하는 방법에 대한 규정 일부를 발췌한 것이다.</t>
  </si>
  <si>
    <t>{'word': '속도', 'start_idx': 9, 'end_idx': 10, 'type': 'POH'}</t>
  </si>
  <si>
    <t>서전트 점프 스매시는 셔틀의 낙하지점보다 한발짝 뒤로 물러선 후 앞으로 나아감과 동시에 점프하여 셔틀을 강하게 타구하는 방법이다.</t>
  </si>
  <si>
    <t>{'word': '셔틀', 'start_idx': 12, 'end_idx': 13, 'type': 'EQP'}</t>
  </si>
  <si>
    <t>{'word': '서전트 점프 스매시', 'start_idx': 0, 'end_idx': 9, 'type': 'POH'}</t>
  </si>
  <si>
    <t>모든 뛰어넘기는 한 손 또는 두 손으로 하여야 하며, 도움닫기의 길이는 자유로이 선택해도 된다.</t>
  </si>
  <si>
    <t>{'word': '도움닫기', 'start_idx': 30, 'end_idx': 33, 'type': 'POH'}</t>
  </si>
  <si>
    <t>{'word': '뛰어넘기', 'start_idx': 3, 'end_idx': 6, 'type': 'POH'}</t>
  </si>
  <si>
    <t>어떤 경기는 속도가 느린 선수들이 먼저 출발하고 빠른 선수들이 가장 늦게 출발하도록하여 다른 능력과 연령의 선수가 함께 겨룰수 있도록 핸디캡을 만들어 두기도 한다.</t>
  </si>
  <si>
    <t>{'word': '어떤 경기', 'start_idx': 0, 'end_idx': 4, 'type': 'SPR'}</t>
  </si>
  <si>
    <t>{'word': '핸디캡', 'start_idx': 75, 'end_idx': 77, 'type': 'POH'}</t>
  </si>
  <si>
    <t>남자는 마루운동, 안마, 링, 도마, 평행봉, 철봉의 6종목으로 구성되어 있고, 여자는 도마, 이단평행봉, 평균대, 마루운동의 4종목으로 구성되어 있다.</t>
  </si>
  <si>
    <t>{'word': '도마, 이단평행봉, 평균대, 마루운동', 'start_idx': 49, 'end_idx': 68, 'type': 'SPR'}</t>
  </si>
  <si>
    <t>{'word': '마루운동, 안마, 링, 도마, 평행봉, 철봉', 'start_idx': 4, 'end_idx': 27, 'type': 'SPR'}</t>
  </si>
  <si>
    <t>대한민국의 경우 1934년 YMCA에 레슬링부가 생겼으며, 1945년에 8·15 광복 이후 각 지방에 레슬링 도장이 들어서면서 널리 보급되기 시작하였다.</t>
  </si>
  <si>
    <t>{'word': '레슬링', 'start_idx': 57, 'end_idx': 59, 'type': 'SPR'}</t>
  </si>
  <si>
    <t>계영(繼泳, 문화어: 이어헤기, freestyle relay)은 수영 종목 가운데 하나로, 일반적으로는 4명이 한 조가 되어 일정한 거리를 차례로 헤엄쳐 빠르기를 겨루는 종목을 가리킨다.</t>
  </si>
  <si>
    <t>{'word': '이어헤기', 'start_idx': 12, 'end_idx': 15, 'type': 'SPR'}</t>
  </si>
  <si>
    <t>{'word': 'freestyle relay', 'start_idx': 18, 'end_idx': 32, 'type': 'SPR'}</t>
  </si>
  <si>
    <t>상대방의 생명을 위협하거나 사지의 골절 또는 탈구를 유발시킬 만한 행위.</t>
  </si>
  <si>
    <t>{'word': '행위', 'start_idx': 37, 'end_idx': 38, 'type': 'POH'}</t>
  </si>
  <si>
    <t>{'word': '사지의 골절', 'start_idx': 15, 'end_idx': 20, 'type': 'POH'}</t>
  </si>
  <si>
    <t>경기는 1분 10초에서 1분 30초 사이에 평균대의 전면을 이용하여 정적인 요소와 동적인 요소를 조화있게 구성하여 연속적인 연결성과 우아함·산뜻함·창의성이 발휘된 기교로서 이루어져야 한다.</t>
  </si>
  <si>
    <t>{'word': '경기', 'start_idx': 0, 'end_idx': 1, 'type': 'SPR'}</t>
  </si>
  <si>
    <t>{'word': '평균대', 'start_idx': 24, 'end_idx': 26, 'type': 'EQP'}</t>
  </si>
  <si>
    <t>이중 가장 유명한 자전거 경기는 투르 드 프랑스인데 삼주 동안 주로 프랑스의 전역을 누비고 파리에서 끝맺는 다중 스테이지 경기이다.</t>
  </si>
  <si>
    <t>{'word': '투르 드 프랑스', 'start_idx': 18, 'end_idx': 25, 'type': 'POH'}</t>
  </si>
  <si>
    <t>{'word': '프랑스', 'start_idx': 38, 'end_idx': 40, 'type': 'LOC'}</t>
  </si>
  <si>
    <t>다음은 배드민턴의 경기 규정을 요약한 것이다.</t>
  </si>
  <si>
    <t>{'word': '경기 규정', 'start_idx': 10, 'end_idx': 14, 'type': 'POH'}</t>
  </si>
  <si>
    <t>{'word': '배드민턴', 'start_idx': 4, 'end_idx': 7, 'type': 'SPR'}</t>
  </si>
  <si>
    <t>더블 보기(double bogey)는 파보다 2타 많은 타수를 말한다.</t>
  </si>
  <si>
    <t>{'word': '파', 'start_idx': 21, 'end_idx': 21, 'type': 'POH'}</t>
  </si>
  <si>
    <t>{'word': '더블 보기', 'start_idx': 0, 'end_idx': 4, 'type': 'POH'}</t>
  </si>
  <si>
    <t>정지기술로서는 물구나무서기나 엘자버티기 등으로 주로 상지대 근력을 사용해서 행하는 운동이다.</t>
  </si>
  <si>
    <t>{'word': '엘자버티기', 'start_idx': 16, 'end_idx': 20, 'type': 'SPR'}</t>
  </si>
  <si>
    <t>{'word': '물구나무서기', 'start_idx': 8, 'end_idx': 13, 'type': 'SPR'}</t>
  </si>
  <si>
    <t>서브 항목에서 언급하였듯이 서브의 각이 좋지 않거나, 서브가 떠버리면 리시버에게 반격당하기 쉽다고 언급했었다.</t>
  </si>
  <si>
    <t>{'word': '서브', 'start_idx': 0, 'end_idx': 1, 'type': 'POH'}</t>
  </si>
  <si>
    <t>{'word': '리시버', 'start_idx': 39, 'end_idx': 41, 'type': 'POH'}</t>
  </si>
  <si>
    <t>신체의 결함이나 바르지 못한 자세를 교정 또는 보완하며, 신체의 여러 기능을 높여 준다.</t>
  </si>
  <si>
    <t>{'word': '신체', 'start_idx': 0, 'end_idx': 1, 'type': 'POH'}</t>
  </si>
  <si>
    <t>{'word': '자세', 'start_idx': 16, 'end_idx': 17, 'type': 'POH'}</t>
  </si>
  <si>
    <t>크로스헤어핀은 말그대로 자신이 있는 곳의 대각선으로 헤어핀을 구사하는것인데 이는 구사하는 개인마다 차이가 존재한다.</t>
  </si>
  <si>
    <t>{'word': '크로스헤어핀', 'start_idx': 0, 'end_idx': 5, 'type': 'POH'}</t>
  </si>
  <si>
    <t>{'word': '헤어핀', 'start_idx': 29, 'end_idx': 31, 'type': 'POH'}</t>
  </si>
  <si>
    <t>이러한 초기 경기는 리에주-바스토뉴-리에주(1892년창립), 파리-루베이(1896년), 투르 드 프랑스(1903년), 밀란-산 레모와 지로 디 롬바르디아(1905), 지로 디탈리아(1909년), 론드 반 플란데른(1913년) 등이 있다.</t>
  </si>
  <si>
    <t>{'word': '초기 경기', 'start_idx': 4, 'end_idx': 8, 'type': 'POH'}</t>
  </si>
  <si>
    <t>{'word': '리에주-바스토뉴-리에주', 'start_idx': 11, 'end_idx': 22, 'type': 'POH'}</t>
  </si>
  <si>
    <t>그 결과, 승패의 결정에 있어서도 단순히 상대방과 경쟁할 뿐만 아니라 시간과 거리를 경쟁하게 되었고, 나아가서 미적 표현이나 예술성을 겨루는 기계체조와 같은 종목이 나타나게 되었다.</t>
  </si>
  <si>
    <t>{'word': '기계체조', 'start_idx': 79, 'end_idx': 82, 'type': 'SPR'}</t>
  </si>
  <si>
    <t>{'word': '미적 표현', 'start_idx': 62, 'end_idx': 66, 'type': 'POH'}</t>
  </si>
  <si>
    <t>안마경기는 손잡이를 중심으로 한 양편 옆면을 골고루 이용하여 몸을 곧게 뻗어 펴고 양손으로 버티어 실시하는 것으로 주로 상지대 근력을 이용하는 운동이다.</t>
  </si>
  <si>
    <t>{'word': '안마경기', 'start_idx': 0, 'end_idx': 3, 'type': 'SPR'}</t>
  </si>
  <si>
    <t>{'word': '손잡이', 'start_idx': 6, 'end_idx': 8, 'type': 'EQP'}</t>
  </si>
  <si>
    <t>같은 한자문화권인 중화인민공화국이나 중화민국에서는 경기체조(竞技体操)라 하고 일본에서는 체조경기(体操競技)라고 한다.</t>
  </si>
  <si>
    <t>{'word': '경기체조', 'start_idx': 28, 'end_idx': 31, 'type': 'SPR'}</t>
  </si>
  <si>
    <t>{'word': '竞技体操', 'start_idx': 33, 'end_idx': 36, 'type': 'SPR'}</t>
  </si>
  <si>
    <t>그러나 원시인들은 목적물의 명중 여부가 그 날의 생계와 직결되며, 상대가 자기보다 강한 맹수인 경우에는 직접 생명까지 영향을 끼치는 심각한 문제였다.</t>
  </si>
  <si>
    <t>{'word': '원시인', 'start_idx': 4, 'end_idx': 6, 'type': 'POH'}</t>
  </si>
  <si>
    <t>{'word': '목적물', 'start_idx': 10, 'end_idx': 12, 'type': 'POH'}</t>
  </si>
  <si>
    <t>아웃(out)은 18개 홀 가운데 1∼9번까지 전반의 9개 홀을 이르는 말이다.</t>
  </si>
  <si>
    <t>{'word': '아웃', 'start_idx': 0, 'end_idx': 1, 'type': 'POH'}</t>
  </si>
  <si>
    <t>{'word': '9개 홀', 'start_idx': 30, 'end_idx': 33, 'type': 'POH'}</t>
  </si>
  <si>
    <t>#타임 트라이얼은 중거리 코스(20-50km), 개인 출발. &amp;quot;진실의 경주&amp;quot; 라고도 부름.</t>
  </si>
  <si>
    <t>{'word': '타임 트라이얼', 'start_idx': 1, 'end_idx': 7, 'type': 'POH'}</t>
  </si>
  <si>
    <t>{'word': '진실의 경주', 'start_idx': 35, 'end_idx': 40, 'type': 'POH'}</t>
  </si>
  <si>
    <t>한 발로 균형잡기, 두 손으로 마루를 짚고 다리를 벌려 물구나무서기, 발레와 비슷한 동작, 재주 넘기, 도약을 연기 사이사이에 끼워 넣는다.</t>
  </si>
  <si>
    <t>{'word': '발레와 비슷한 동작', 'start_idx': 39, 'end_idx': 48, 'type': 'POH'}</t>
  </si>
  <si>
    <t>{'word': '한 발로 균형잡기', 'start_idx': 0, 'end_idx': 8, 'type': 'POH'}</t>
  </si>
  <si>
    <t>처음부터 끝까지 율동적이어야 하고 동작과 동작이 조화를 이루어야 하며, 선수는 배정된 구역을 최대한 이용하여 여러 방향으로 움직여야 한다.</t>
  </si>
  <si>
    <t>{'word': '동작', 'start_idx': 19, 'end_idx': 20, 'type': 'POH'}</t>
  </si>
  <si>
    <t>{'word': '선수', 'start_idx': 40, 'end_idx': 41, 'type': 'POH'}</t>
  </si>
  <si>
    <t>하지만 하이클리어보다 타점(임팩트하는 순간)이 앞에 있기 때문에, 하이클리어보다는 빠른 속도로 상대방의 엔드라인으로 셔틀콕이 날아간다.</t>
  </si>
  <si>
    <t>{'word': '셔틀콕', 'start_idx': 65, 'end_idx': 67, 'type': 'EQP'}</t>
  </si>
  <si>
    <t>{'word': '하이클리어', 'start_idx': 37, 'end_idx': 41, 'type': 'POH'}</t>
  </si>
  <si>
    <t>경기시에 구성상 유의해야 할 사항은 기구에 매달려 시작된 때부터 착지동작까지 자연스럽게 연결되어야 하며, 높은 봉과 낮은 봉으로의 이동을 골고루 사용하고 한 봉에서의 돌기운동이 포함되어야 한다.</t>
  </si>
  <si>
    <t>{'word': '기구', 'start_idx': 20, 'end_idx': 21, 'type': 'EQP'}</t>
  </si>
  <si>
    <t>경기시 연기의 구성에 유의해야 할 사항은 진동과 선회에서 정지하지 않고 실시해야 하며, 발엇갈리기의 바로와 반대 동작을 구사하여야 하며, 안마의 세 부분을 반드시 적절히 사용해야 한다.</t>
  </si>
  <si>
    <t>{'word': '안마의 세 부분', 'start_idx': 77, 'end_idx': 84, 'type': 'EQP'}</t>
  </si>
  <si>
    <t>{'word': '진동과 선회', 'start_idx': 23, 'end_idx': 28, 'type': 'POH'}</t>
  </si>
  <si>
    <t>에이지 슈팅(age shooting)은 자신의 나이와 같거나 그보다 더 적은 타수로 한 바퀴를 도는 일을 말한다.</t>
  </si>
  <si>
    <t>{'word': '에이지 슈팅', 'start_idx': 0, 'end_idx': 5, 'type': 'POH'}</t>
  </si>
  <si>
    <t>{'word': 'age shooting', 'start_idx': 7, 'end_idx': 18, 'type': 'POH'}</t>
  </si>
  <si>
    <t>2명이 짝을 이루어 협동하여 실시하는 체조를 짝 체조라 한다.</t>
  </si>
  <si>
    <t>{'word': '체조', 'start_idx': 21, 'end_idx': 22, 'type': 'SPR'}</t>
  </si>
  <si>
    <t>{'word': '짝 체조', 'start_idx': 25, 'end_idx': 28, 'type': 'SPR'}</t>
  </si>
  <si>
    <t>뜀틀은 길이 95-105 cm, 높이 135 cm(여자는 125cm)이며, 남자는 뜀틀을 세로로, 여자는 가로로 놓고 실시한다.</t>
  </si>
  <si>
    <t>{'word': '뜀틀', 'start_idx': 0, 'end_idx': 1, 'type': 'SPR'}</t>
  </si>
  <si>
    <t>{'word': '뜀틀', 'start_idx': 46, 'end_idx': 47, 'type': 'EQP'}</t>
  </si>
  <si>
    <t>또한 모든 동작은 반드시 스윙과 함께 이루어져야 하며, 경기 도중 아주 경미한 중단도 있어서는 안 된다.</t>
  </si>
  <si>
    <t>{'word': '경기', 'start_idx': 31, 'end_idx': 32, 'type': 'SPR'}</t>
  </si>
  <si>
    <t>{'word': '모든 동작', 'start_idx': 3, 'end_idx': 7, 'type': 'SPR'}</t>
  </si>
  <si>
    <t>선수는 손을 짚어 도약하거나 점프를 해서 대 위에 오름으로써 경기를 시작한다.</t>
  </si>
  <si>
    <t>{'word': '경기', 'start_idx': 34, 'end_idx': 35, 'type': 'SPR'}</t>
  </si>
  <si>
    <t>{'word': '대', 'start_idx': 23, 'end_idx': 23, 'type': 'EQP'}</t>
  </si>
  <si>
    <t>2013년 2월 12일 IOC는 2020년 하계 올림픽 핵심 종목에서 레슬링을 제외한다고 발표하였으나, 같은 해 9월 총회에서 레슬링은 다시 핵심 종목으로 선정되었다.</t>
  </si>
  <si>
    <t>{'word': '레슬링', 'start_idx': 39, 'end_idx': 41, 'type': 'SPR'}</t>
  </si>
  <si>
    <t>{'word': '2013년 2월 12일', 'start_idx': 0, 'end_idx': 11, 'type': 'DAT'}</t>
  </si>
  <si>
    <t>#오스트리치(ostrich)는 파보다 5타 적은 타수이다. 아직까지 이를 기록한 골퍼는 없다.</t>
  </si>
  <si>
    <t>{'word': '오스트리치', 'start_idx': 1, 'end_idx': 5, 'type': 'POH'}</t>
  </si>
  <si>
    <t>{'word': '골퍼', 'start_idx': 45, 'end_idx': 46, 'type': 'POH'}</t>
  </si>
  <si>
    <t>주요대회에는 전 세계 대회, 대륙별 대회, 올아프리카 게임, 아시안 게임, 코먼웰스 게임, 팬아메리칸 게임, 남아메리카 게임 등이 있다.</t>
  </si>
  <si>
    <t>{'word': '아시안 게임', 'start_idx': 34, 'end_idx': 39, 'type': 'POH'}</t>
  </si>
  <si>
    <t>{'word': '주요대회', 'start_idx': 0, 'end_idx': 3, 'type': 'POH'}</t>
  </si>
  <si>
    <t>경기의 규칙은 국제 체조 연맹의 결정에 따라 규칙이 정해지며 각지에서 개최되는 대회에는 쥬니어 규칙등 많은 로컬 규정도 존재하지만 기본적으로는 모두 같다.</t>
  </si>
  <si>
    <t>{'word': '각지', 'start_idx': 34, 'end_idx': 35, 'type': 'POH'}</t>
  </si>
  <si>
    <t>{'word': '국제 체조 연맹', 'start_idx': 8, 'end_idx': 15, 'type': 'ORG'}</t>
  </si>
  <si>
    <t>현대적인 형태로서의 도로경기는 19세기 후반에 발생하였다.</t>
  </si>
  <si>
    <t>{'word': '현대적인 형태로서의 도로경기', 'start_idx': 0, 'end_idx': 14, 'type': 'SPR'}</t>
  </si>
  <si>
    <t>{'word': '19세기 후반', 'start_idx': 17, 'end_idx': 23, 'type': 'DAT'}</t>
  </si>
  <si>
    <t>스타이미(stymie)는 공과 홀 중간에 있는 방해물을 가리킨다.</t>
  </si>
  <si>
    <t>{'word': '공', 'start_idx': 14, 'end_idx': 14, 'type': 'EQP'}</t>
  </si>
  <si>
    <t>{'word': '홀', 'start_idx': 17, 'end_idx': 17, 'type': 'EQP'}</t>
  </si>
  <si>
    <t>#언더파(under par)는 18홀을 규정된 타수인 파 72 이하로 한 바퀴 도는 일을 뜻한다. 적은 타수로 한 홀을 끝내는 일을 말한다.</t>
  </si>
  <si>
    <t>{'word': 'under par', 'start_idx': 5, 'end_idx': 13, 'type': 'POH'}</t>
  </si>
  <si>
    <t>{'word': '언더파', 'start_idx': 1, 'end_idx': 3, 'type': 'POH'}</t>
  </si>
  <si>
    <t>이해 9월 13일, 잉글랜드 포츠머스 웨이벌리 그로브(Waverly Grove) 6번지의 '던바'(Dunbar)라고 불리는 가옥에서 배드민턴이 공식적인 스포츠로서 출범하였다.</t>
  </si>
  <si>
    <t>{'word': '배드민턴', 'start_idx': 74, 'end_idx': 77, 'type': 'SPR'}</t>
  </si>
  <si>
    <t>{'word': '잉글랜드 포츠머스', 'start_idx': 11, 'end_idx': 19, 'type': 'LOC'}</t>
  </si>
  <si>
    <t>한편 그레코로만형은 상대의 다리를 걸고 넘어지는 것이 반칙이며 오직 상반신만을 사용하여 다투는 경기이다.</t>
  </si>
  <si>
    <t>{'word': '그레코로만형', 'start_idx': 3, 'end_idx': 8, 'type': 'SPR'}</t>
  </si>
  <si>
    <t>{'word': '상반신', 'start_idx': 38, 'end_idx': 40, 'type': 'POH'}</t>
  </si>
  <si>
    <t>이에 더해 균형잡힌 움직임과 라켓 사용의 기교 또한 요구된다는 점에서 배드민턴은 매우 기술적인 스포츠라 할 수 있다.</t>
  </si>
  <si>
    <t>{'word': '배드민턴', 'start_idx': 39, 'end_idx': 42, 'type': 'SPR'}</t>
  </si>
  <si>
    <t>{'word': '라켓', 'start_idx': 16, 'end_idx': 17, 'type': 'EQP'}</t>
  </si>
  <si>
    <t>서브권을 가진 쪽이 랠리에서 졌을 경우 서브권은 상대방에게 넘어간다.</t>
  </si>
  <si>
    <t>{'word': '랠리', 'start_idx': 11, 'end_idx': 12, 'type': 'POH'}</t>
  </si>
  <si>
    <t>{'word': '서브권', 'start_idx': 0, 'end_idx': 2, 'type': 'POH'}</t>
  </si>
  <si>
    <t>1904년 세인트루이스 올림픽대회에서는 4명이 200 미터 계영에 함께 출전했다.</t>
  </si>
  <si>
    <t>{'word': '200 미터 계영', 'start_idx': 26, 'end_idx': 34, 'type': 'SPR'}</t>
  </si>
  <si>
    <t>{'word': '1904년 세인트루이스 올림픽대회', 'start_idx': 0, 'end_idx': 17, 'type': 'DAT'}</t>
  </si>
  <si>
    <t>두 손은 도마의 앞·뒤쪽 어느 부분이나 짚을 수 있지만 착지지점이 제한되어 있어서 이 지점을 벗어난 곳에 손이 닿으면 감점을 당한다.</t>
  </si>
  <si>
    <t>{'word': '도마', 'start_idx': 5, 'end_idx': 6, 'type': 'EQP'}</t>
  </si>
  <si>
    <t>{'word': '착지지점', 'start_idx': 31, 'end_idx': 34, 'type': 'POH'}</t>
  </si>
  <si>
    <t>남자 선수들 중에서는 메이저 대회 우승은 양용은이 유일하여 상대적으로 여자 선수들에 비해 눈에 띄는 성과는 적은 편이다.</t>
  </si>
  <si>
    <t>{'word': '메이저 대회 우승', 'start_idx': 12, 'end_idx': 20, 'type': 'POH'}</t>
  </si>
  <si>
    <t>{'word': '양용은', 'start_idx': 23, 'end_idx': 25, 'type': 'PER'}</t>
  </si>
  <si>
    <t>유럽의 초기 도로 자전거 경기 중에 일부는 스포츠의 가장 큰 대회로서 남아 있기도 하다.</t>
  </si>
  <si>
    <t>{'word': '스포츠의 가장 큰 대회', 'start_idx': 24, 'end_idx': 35, 'type': 'POH'}</t>
  </si>
  <si>
    <t>고대 이집트에서는 다른 문명권에서와는 달리 권투가 아주 성행하지는 않았던 것으로 추정되는데, 레슬링 및 봉술에 관한 자료에 비해서 권투에 관한 유물은 이 18왕조의 것이 유일하다제23회 고대 올림픽에서 권투가 처음으로 정식종목으로 채택됐으며 최초의 금메달 리스트는 SMYRNE이다.</t>
  </si>
  <si>
    <t>{'word': '권투', 'start_idx': 73, 'end_idx': 74, 'type': 'SPR'}</t>
  </si>
  <si>
    <t>{'word': 'SMYRNE', 'start_idx': 148, 'end_idx': 153, 'type': 'PER'}</t>
  </si>
  <si>
    <t>오스트리치(ostrich)는 파보다 5타 적은 타수이다.</t>
  </si>
  <si>
    <t>{'word': '파', 'start_idx': 16, 'end_idx': 16, 'type': 'POH'}</t>
  </si>
  <si>
    <t>{'word': 'ostrich', 'start_idx': 6, 'end_idx': 12, 'type': 'POH'}</t>
  </si>
  <si>
    <t>#벙커(bunker)는 코스 안에 있는 인공 모래사장이다. 장애지역으로 해저드의 일종이다.</t>
  </si>
  <si>
    <t>{'word': '장애지역', 'start_idx': 33, 'end_idx': 36, 'type': 'POH'}</t>
  </si>
  <si>
    <t>{'word': '코스', 'start_idx': 13, 'end_idx': 14, 'type': 'POH'}</t>
  </si>
  <si>
    <t>#개인 종합 경기는 후프, 곤봉 ,볼, 리본 연기의 합산 점수로 순위를 결정한다. 올림픽 종목이다.</t>
  </si>
  <si>
    <t>{'word': '올림픽', 'start_idx': 46, 'end_idx': 48, 'type': 'POH'}</t>
  </si>
  <si>
    <t>{'word': '개인 종합 경기', 'start_idx': 1, 'end_idx': 8, 'type': 'POH'}</t>
  </si>
  <si>
    <t>심판이 6명으로 구성되었을 때는 주심을 2명 둘 수도 있으며, 이때 4명의 심판원으로 채점을 한다.</t>
  </si>
  <si>
    <t>{'word': '주심', 'start_idx': 18, 'end_idx': 19, 'type': 'POH'}</t>
  </si>
  <si>
    <t>{'word': '심판', 'start_idx': 0, 'end_idx': 1, 'type': 'POH'}</t>
  </si>
  <si>
    <t>그립(grip)은 라켓의 손잡이 부분에 감는 테이프 형태의 것으로, 라켓이 손에서 미끄러지지 않도록 돕는 동시에 라켓 사용자에게 편안한 그립감과 쿠션감을 제공하고 손의 크기에 맞게 손잡이의 굵기를 일정량 증가시켜주는 역할을 한다.</t>
  </si>
  <si>
    <t>{'word': '라켓', 'start_idx': 10, 'end_idx': 11, 'type': 'EQP'}</t>
  </si>
  <si>
    <t>{'word': '그립(grip)', 'start_idx': 0, 'end_idx': 7, 'type': 'POH'}</t>
  </si>
  <si>
    <t>지름 10.8 cm, 깊이 10 cm 정도의 홀이 있는데, 이 홀에 공을 쳐 넣으면 그 홀의 경기는 끝난다.</t>
  </si>
  <si>
    <t>{'word': '공', 'start_idx': 38, 'end_idx': 38, 'type': 'EQP'}</t>
  </si>
  <si>
    <t>{'word': '홀', 'start_idx': 25, 'end_idx': 25, 'type': 'POH'}</t>
  </si>
  <si>
    <t>서비스리턴이란 상대방이 서브를 하였을때 그 셔틀콕을 다시 반구하는 것을 의미한다.</t>
  </si>
  <si>
    <t>{'word': '서브', 'start_idx': 13, 'end_idx': 14, 'type': 'POH'}</t>
  </si>
  <si>
    <t>{'word': '셔틀콕', 'start_idx': 24, 'end_idx': 26, 'type': 'EQP'}</t>
  </si>
  <si>
    <t>남자복식 경기에서 가장 많이 사용되는 스트로크라고 할 수 있으며, 드라이브를 잘 구사해야지만 공격권을 쉽게 가져올수 있기때문에 정말 많이 연습해야하는 기술중에 하나이다.</t>
  </si>
  <si>
    <t>{'word': '스트로크', 'start_idx': 21, 'end_idx': 24, 'type': 'POH'}</t>
  </si>
  <si>
    <t>{'word': '드라이브', 'start_idx': 37, 'end_idx': 40, 'type': 'POH'}</t>
  </si>
  <si>
    <t>30초 이내의 너무 짧은 연기는 5.0점의 감점을 받는다.</t>
  </si>
  <si>
    <t>{'word': '감점', 'start_idx': 24, 'end_idx': 25, 'type': 'POH'}</t>
  </si>
  <si>
    <t>{'word': '연기', 'start_idx': 14, 'end_idx': 15, 'type': 'POH'}</t>
  </si>
  <si>
    <t>무턱대고 들어가게되면 셔틀과 자신이 너무 가까워져서 제대로 타구할 수 없게되고, 셔틀과 자신이 너무 멀게되면 적당량의 힘을 주는 것이 힘들어진다.</t>
  </si>
  <si>
    <t>{'word': '타구', 'start_idx': 33, 'end_idx': 34, 'type': 'POH'}</t>
  </si>
  <si>
    <t>#공격 선수의 기술을 고의로 방해하는 행위. 즉 고의로 매트에서 도망치거나 계속 배를 대고 엎드려 피하는 행위.</t>
  </si>
  <si>
    <t>{'word': '매트', 'start_idx': 31, 'end_idx': 32, 'type': 'EQP'}</t>
  </si>
  <si>
    <t>{'word': '행위', 'start_idx': 21, 'end_idx': 22, 'type': 'POH'}</t>
  </si>
  <si>
    <t>또 다른 한가지는 롱서브는 셔틀콕의 체공시간이 숏서비스보다 길기 때문에 다음 타구를 준비할 시간이 상대적으로 많아서 사용하는 경우이다.</t>
  </si>
  <si>
    <t>{'word': '롱서브', 'start_idx': 10, 'end_idx': 12, 'type': 'POH'}</t>
  </si>
  <si>
    <t>{'word': '숏서비스', 'start_idx': 26, 'end_idx': 29, 'type': 'POH'}</t>
  </si>
  <si>
    <t>레슬링도 복싱이나 씨름 등과 마찬가지로 인류가 생존을 위한 투쟁을 벌인 데에서 역사가 시작되었다고 할 수 있다.</t>
  </si>
  <si>
    <t>{'word': '씨름', 'start_idx': 10, 'end_idx': 11, 'type': 'SPR'}</t>
  </si>
  <si>
    <t>{'word': '레슬링', 'start_idx': 0, 'end_idx': 2, 'type': 'SPR'}</t>
  </si>
  <si>
    <t>1934년에는 국제 배드민턴 연맹(International Badminton Federation, 현재의 배드민턴 세계 연맹)이 설립 되었다.</t>
  </si>
  <si>
    <t>{'word': '국제 배드민턴 연맹', 'start_idx': 8, 'end_idx': 17, 'type': 'LOC'}</t>
  </si>
  <si>
    <t>{'word': '배드민턴 세계 연맹', 'start_idx': 59, 'end_idx': 68, 'type': 'LOC'}</t>
  </si>
  <si>
    <t>권투(拳鬪) 또는 복싱(영어: Boxing)은 격투 스포츠 종목 중 하나이다.</t>
  </si>
  <si>
    <t>{'word': '권투', 'start_idx': 0, 'end_idx': 1, 'type': 'SPR'}</t>
  </si>
  <si>
    <t>{'word': '복싱', 'start_idx': 10, 'end_idx': 11, 'type': 'SPR'}</t>
  </si>
  <si>
    <t>러프(rough)는 페어웨이 바깥쪽의 잡초 지대를 일컫는다.</t>
  </si>
  <si>
    <t>{'word': '페어웨이', 'start_idx': 11, 'end_idx': 14, 'type': 'POH'}</t>
  </si>
  <si>
    <t>{'word': '러프', 'start_idx': 0, 'end_idx': 1, 'type': 'POH'}</t>
  </si>
  <si>
    <t>동호인 대회의 치명적인 단점은 대회에 참가할 때 자신의 급수를 속일 수 있다는점인데, 이를 악용하여 상당한 실력자가 낮은 급수 대회에 참여하여 상품만을 타가는 경우도 존재한다.</t>
  </si>
  <si>
    <t>{'word': '급수', 'start_idx': 31, 'end_idx': 32, 'type': 'POH'}</t>
  </si>
  <si>
    <t>{'word': '동호인 대회', 'start_idx': 0, 'end_idx': 5, 'type': 'POH'}</t>
  </si>
  <si>
    <t>경기에 있어서 가장 처음으로 하는 타구이기 때문에 어떤 서브를 넣을지 신중하게 결정해야 한다.</t>
  </si>
  <si>
    <t>{'word': '경기', 'start_idx': 0, 'end_idx': 1, 'type': 'POH'}</t>
  </si>
  <si>
    <t>{'word': '타구', 'start_idx': 19, 'end_idx': 20, 'type': 'POH'}</t>
  </si>
  <si>
    <t>1986년에 개봉한 〈짐카타(Gymkata)〉는 주인공 본래의 직업인 기계체조 선수를 조명하기보다는 적의 음모를 막는 부분에 초점을 맞췄기 때문에 정확히 기계체조 영화라고 볼 수는 없다.</t>
  </si>
  <si>
    <t>{'word': '기계체조', 'start_idx': 39, 'end_idx': 42, 'type': 'SPR'}</t>
  </si>
  <si>
    <t>{'word': '1986년', 'start_idx': 0, 'end_idx': 4, 'type': 'DAT'}</t>
  </si>
  <si>
    <t>엔드라인까지 셔틀콕을 보낸다는점에서 하이클리어와 공통점을 가진다.</t>
  </si>
  <si>
    <t>{'word': '셔틀콕', 'start_idx': 7, 'end_idx': 9, 'type': 'EQP'}</t>
  </si>
  <si>
    <t>{'word': '하이클리어', 'start_idx': 20, 'end_idx': 24, 'type': 'POH'}</t>
  </si>
  <si>
    <t>그 밖에 근육의 유연성을 높이고, 내장의 기능을 도우며, 피로 회복, 작업 능률 향상에도 효과가 크다.</t>
  </si>
  <si>
    <t>{'word': '피로 회복', 'start_idx': 32, 'end_idx': 36, 'type': 'POH'}</t>
  </si>
  <si>
    <t>{'word': '유연성', 'start_idx': 9, 'end_idx': 11, 'type': 'POH'}</t>
  </si>
  <si>
    <t>그러나 이 거리는 풀 코스에서만 사용되며, 하프마라톤인 21.0975 km, 10 km, 5 km 등의 단축 마라톤, 풀 코스보다 더 긴 60 km, 100 km, 200 km 등의 울트라 마라톤도 있다.</t>
  </si>
  <si>
    <t>{'word': '하프마라톤', 'start_idx': 24, 'end_idx': 28, 'type': 'SPR'}</t>
  </si>
  <si>
    <t>{'word': '울트라 마라톤', 'start_idx': 102, 'end_idx': 108, 'type': 'SPR'}</t>
  </si>
  <si>
    <t>대한사이클연맹은 대한민국에서 자전거 경기를 주관하는 단체로 아시안 게임 올림픽 등에 출전하는 국가대표 선수를 선발하고 관리한다.</t>
  </si>
  <si>
    <t>{'word': '대한사이클연맹', 'start_idx': 0, 'end_idx': 6, 'type': 'ORG'}</t>
  </si>
  <si>
    <t>{'word': '자전거 경기', 'start_idx': 16, 'end_idx': 21, 'type': 'SPR'}</t>
  </si>
  <si>
    <t>네트 포스트는 복식 사이드라인 위에 세워지며, 이것은 단식 경기의 경우에도 마찬가지이다.</t>
  </si>
  <si>
    <t>{'word': '단식 경기', 'start_idx': 30, 'end_idx': 34, 'type': 'SPR'}</t>
  </si>
  <si>
    <t>{'word': '네트 포스트', 'start_idx': 0, 'end_idx': 5, 'type': 'EQP'}</t>
  </si>
  <si>
    <t>스크래치(scratch)는 핸디캡을 붙이지 않는 일을 뜻한다.</t>
  </si>
  <si>
    <t>{'word': '핸디캡', 'start_idx': 15, 'end_idx': 17, 'type': 'POH'}</t>
  </si>
  <si>
    <t>{'word': '스크래치', 'start_idx': 0, 'end_idx': 3, 'type': 'POH'}</t>
  </si>
  <si>
    <t>당시 영국 왕실에서 마라톤의 출발과 결승 광경을 편안히 보기 위하여 윈저 성의 동쪽 베란다에서 마라톤이 시작되어 화이트 시티(White city) 운동장에서 끝을 마치도록 해달라고 요청하였다.</t>
  </si>
  <si>
    <t>{'word': '화이트 시티', 'start_idx': 63, 'end_idx': 68, 'type': 'LOC'}</t>
  </si>
  <si>
    <t>{'word': '윈저 성의 동쪽 베란다', 'start_idx': 38, 'end_idx': 49, 'type': 'LOC'}</t>
  </si>
  <si>
    <t>심판은 부정행위를 하지못하게한다.</t>
  </si>
  <si>
    <t>{'word': '부정행위', 'start_idx': 4, 'end_idx': 7, 'type': 'POH'}</t>
  </si>
  <si>
    <t>더 강한 선수는 이런 구간에서 약한 선수들을 낙오시킬수 있고 이로 인해 승리를 차지할 직접적인 경쟁자의 수를 줄일수 있게 된다.</t>
  </si>
  <si>
    <t>{'word': '강한 선수', 'start_idx': 2, 'end_idx': 6, 'type': 'POH'}</t>
  </si>
  <si>
    <t>{'word': '약한 선수들', 'start_idx': 17, 'end_idx': 22, 'type': 'POH'}</t>
  </si>
  <si>
    <t>스매싱은 배드민턴의 꽃이라고도 말할 수 있을 만큼 배드민턴에 있어서 큰 비중을 차지하는 스트로크이다.</t>
  </si>
  <si>
    <t>{'word': '배드민턴', 'start_idx': 5, 'end_idx': 8, 'type': 'SPR'}</t>
  </si>
  <si>
    <t>{'word': '스매싱', 'start_idx': 0, 'end_idx': 2, 'type': 'POH'}</t>
  </si>
  <si>
    <t>좁고 평탄한 지역으로 티(페그)라고 하는 나무 또는 플라스틱으로 만든 못 위에 골프공을 얹어 놓고 친다.</t>
  </si>
  <si>
    <t>{'word': '티', 'start_idx': 12, 'end_idx': 12, 'type': 'EQP'}</t>
  </si>
  <si>
    <t>{'word': '플라스틱', 'start_idx': 29, 'end_idx': 32, 'type': 'POH'}</t>
  </si>
  <si>
    <t>네트(net)는 총 타수에서 자기 핸디캡을 뺀 스코어이다.</t>
  </si>
  <si>
    <t>{'word': '핸디캡', 'start_idx': 19, 'end_idx': 21, 'type': 'POH'}</t>
  </si>
  <si>
    <t>{'word': '타수', 'start_idx': 11, 'end_idx': 12, 'type': 'POH'}</t>
  </si>
  <si>
    <t>3세트의 경우 세트가 시작될 때 코트를 바꾼 뒤, 어느 한 쪽이 11점에 먼저 도달하면 다시 코트를 바꾼다.</t>
  </si>
  <si>
    <t>{'word': '3세트', 'start_idx': 0, 'end_idx': 2, 'type': 'POH'}</t>
  </si>
  <si>
    <t>{'word': '코트', 'start_idx': 18, 'end_idx': 19, 'type': 'EQP'}</t>
  </si>
  <si>
    <t>고 김득구 선수가 레이 맨시니 선수와의 경기도중 뇌손상으로 죽은 사고이후 세계타이틀 경기는 12라운드, 국내타이틀 경기는 10라운드까지 경기한다.</t>
  </si>
  <si>
    <t>{'word': '뇌손상', 'start_idx': 27, 'end_idx': 29, 'type': 'POH'}</t>
  </si>
  <si>
    <t>{'word': '김득구', 'start_idx': 2, 'end_idx': 4, 'type': 'PER'}</t>
  </si>
  <si>
    <t>일련체조는 신체 여러 부위의 관절을 고르게 발달시키고 근육과 피부를 균형있고 부드럽게 가꾸어 준다.</t>
  </si>
  <si>
    <t>{'word': '신체', 'start_idx': 6, 'end_idx': 7, 'type': 'POH'}</t>
  </si>
  <si>
    <t>{'word': '관절', 'start_idx': 16, 'end_idx': 17, 'type': 'POH'}</t>
  </si>
  <si>
    <t>#핸디캡(handicap)은 스코어 평균화를 위한 표준타수를 이르는 말이다. 보통 줄여서 핸디라고 함.</t>
  </si>
  <si>
    <t>{'word': '핸디', 'start_idx': 50, 'end_idx': 51, 'type': 'POH'}</t>
  </si>
  <si>
    <t>{'word': '핸디캡', 'start_idx': 1, 'end_idx': 3, 'type': 'POH'}</t>
  </si>
  <si>
    <t>#콘도르(condor)는 파보다 4타 적은 타수를 뜻한다. 현재까지 이걸 기록한 골퍼는 4명이다.</t>
  </si>
  <si>
    <t>{'word': '파', 'start_idx': 14, 'end_idx': 14, 'type': 'POH'}</t>
  </si>
  <si>
    <t>링은 굵기가 28mm인 나무로 만들어져 있으며 링의 안쪽 지름은 18cm이다.</t>
  </si>
  <si>
    <t>{'word': '링', 'start_idx': 0, 'end_idx': 0, 'type': 'EQP'}</t>
  </si>
  <si>
    <t>{'word': '나무', 'start_idx': 13, 'end_idx': 14, 'type': 'POH'}</t>
  </si>
  <si>
    <t>마라톤은 비록 그 거리가 1921년까지 표준화되지 않았지만 1896년 최초의 근대 올림픽 종목 중 하나이다.</t>
  </si>
  <si>
    <t>{'word': '1896년', 'start_idx': 33, 'end_idx': 37, 'type': 'DAT'}</t>
  </si>
  <si>
    <t>정지 기술은 2회 이내로 하는데, 대부분의 기술이 물구나무서기에서 시작되므로 강한 근력이 요구된다.</t>
  </si>
  <si>
    <t>{'word': '정지 기술', 'start_idx': 0, 'end_idx': 4, 'type': 'POH'}</t>
  </si>
  <si>
    <t>{'word': '물구나무서기', 'start_idx': 28, 'end_idx': 33, 'type': 'POH'}</t>
  </si>
  <si>
    <t>추적의 출발 순서는 스프린트와 개인 경기의 결과를 토대로 결정하며, 앞 주자와의 시간 차이만큼씩 차이를 두고 출발하게 되며, 뒷 주자가 앞 주자를 앞지르는 경우 뒷 주자가 승리하게 된다.</t>
  </si>
  <si>
    <t>{'word': '스프린트', 'start_idx': 11, 'end_idx': 14, 'type': 'SPR'}</t>
  </si>
  <si>
    <t>{'word': '추적', 'start_idx': 0, 'end_idx': 1, 'type': 'SPR'}</t>
  </si>
  <si>
    <t>드라이브는 네트와 평행한 방향으로 셔틀을 직선으로 빠르게 날아가게 하는 스트로크이다.</t>
  </si>
  <si>
    <t>{'word': '평행한 방향', 'start_idx': 10, 'end_idx': 15, 'type': 'POH'}</t>
  </si>
  <si>
    <t>{'word': '네트', 'start_idx': 6, 'end_idx': 7, 'type': 'EQP'}</t>
  </si>
  <si>
    <t>복식에서 서브권을 가진 팀이 랠리를 이겼을 경우 서비스 코트 위치만 바꿔서 같은 선수가 계속 서브를 하게 되며, 리시버는 위치를 바꾸지 않는다.</t>
  </si>
  <si>
    <t>{'word': '복식', 'start_idx': 0, 'end_idx': 1, 'type': 'SPR'}</t>
  </si>
  <si>
    <t>{'word': '서비스 코트', 'start_idx': 27, 'end_idx': 32, 'type': 'EQP'}</t>
  </si>
  <si>
    <t>온 몸의 근력을 최대한 사용해야 하기 때문에 체력소모가 장난이 아니며, 리듬체조 선수들은 대개 20대 중반에 모두 은퇴하게 된다.</t>
  </si>
  <si>
    <t>{'word': '리듬체조', 'start_idx': 40, 'end_idx': 43, 'type': 'SPR'}</t>
  </si>
  <si>
    <t>{'word': '체력소모', 'start_idx': 25, 'end_idx': 28, 'type': 'POH'}</t>
  </si>
  <si>
    <t>일련 체조는 맨손체조의 여러 기본 운동을 적절히 알맞게 연결하여, 정해진 순서를 따라 하는 체조를 말한다.</t>
  </si>
  <si>
    <t>{'word': '일련 체조', 'start_idx': 0, 'end_idx': 4, 'type': 'SPR'}</t>
  </si>
  <si>
    <t>{'word': '맨손체조', 'start_idx': 7, 'end_idx': 10, 'type': 'SPR'}</t>
  </si>
  <si>
    <t>이후 1984년 LA 올림픽에서 유인탁·김원기 선수가 금메달을 1988년 서울 올림픽에서는 김영남·한명우 선수, 1992년 바르셀로나 올림픽에서는 안한봉·박장순 선수가 각각 금메달을 획득하였다.</t>
  </si>
  <si>
    <t>{'word': '김원기', 'start_idx': 22, 'end_idx': 24, 'type': 'PER'}</t>
  </si>
  <si>
    <t>{'word': '1984년', 'start_idx': 3, 'end_idx': 7, 'type': 'DAT'}</t>
  </si>
  <si>
    <t>각 매트(보통 4면)마다 매트 체어맨 1명, 주심 1명, 부심 1명으로 구성되어 있다.</t>
  </si>
  <si>
    <t>{'word': '부심', 'start_idx': 32, 'end_idx': 33, 'type': 'POH'}</t>
  </si>
  <si>
    <t>{'word': '매트', 'start_idx': 2, 'end_idx': 3, 'type': 'EQP'}</t>
  </si>
  <si>
    <t>동작의 중단이 없도록 실시하며, 공을 던지고 받을 때에는 반드시 전신을 이용한다.</t>
  </si>
  <si>
    <t>{'word': '전신', 'start_idx': 36, 'end_idx': 37, 'type': 'POH'}</t>
  </si>
  <si>
    <t>{'word': '공', 'start_idx': 18, 'end_idx': 18, 'type': 'EQP'}</t>
  </si>
  <si>
    <t>선수들은 대개 손 보호대를 착용하고 규정 경기시간은 15~30초이다.</t>
  </si>
  <si>
    <t>{'word': '손 보호대', 'start_idx': 8, 'end_idx': 12, 'type': 'EQP'}</t>
  </si>
  <si>
    <t>{'word': '선수들', 'start_idx': 0, 'end_idx': 2, 'type': 'POH'}</t>
  </si>
  <si>
    <t>전략은 드래프팅이라고 하는 공기역학적 원리에 기본을 둔 것으로, 드래프팅을 이용하여 선수는 앞에 가는 선수의 후류속에 밀착하여 따라감으로써 페달링 하는 수고를 현저히 줄일수 있다.</t>
  </si>
  <si>
    <t>{'word': '전략', 'start_idx': 0, 'end_idx': 1, 'type': 'POH'}</t>
  </si>
  <si>
    <t>{'word': '드래프팅', 'start_idx': 4, 'end_idx': 7, 'type': 'POH'}</t>
  </si>
  <si>
    <t>2개의 봉을 이용하여 돌기·흔들기·물구나무서기 등의 동작을 연속적으로 연기한다.</t>
  </si>
  <si>
    <t>{'word': '돌기', 'start_idx': 12, 'end_idx': 13, 'type': 'POH'}</t>
  </si>
  <si>
    <t>{'word': '물구나무서기', 'start_idx': 19, 'end_idx': 24, 'type': 'POH'}</t>
  </si>
  <si>
    <t>단식에서 이런모습을 종종 보인다. (특히 여자 단식의 경우)</t>
  </si>
  <si>
    <t>{'word': '단식', 'start_idx': 0, 'end_idx': 1, 'type': 'SPR'}</t>
  </si>
  <si>
    <t>{'word': '여자 단식', 'start_idx': 23, 'end_idx': 27, 'type': 'SPR'}</t>
  </si>
  <si>
    <t>이 새로운 스포츠는 1873년 뷰포트 공작이 소유하고 있었던 글루세스터셔의 배드민턴 하우스를 통해 본격적으로 보급되기 시작했다.</t>
  </si>
  <si>
    <t>{'word': '새로운 스포츠', 'start_idx': 2, 'end_idx': 8, 'type': 'SPR'}</t>
  </si>
  <si>
    <t>{'word': '글루세스터셔의 배드민턴 하우스', 'start_idx': 34, 'end_idx': 49, 'type': 'LOC'}</t>
  </si>
  <si>
    <t>이와 다르게 백핸드 스트로크는 엄지를 라켓에 넓은면에 두어 라켓면이 상대를 바라보게 잡는 그립을 사용하여 스윙하는 방식이다.</t>
  </si>
  <si>
    <t>{'word': '라켓', 'start_idx': 21, 'end_idx': 22, 'type': 'EQP'}</t>
  </si>
  <si>
    <t>{'word': '백핸드 스트로크', 'start_idx': 7, 'end_idx': 14, 'type': 'POH'}</t>
  </si>
  <si>
    <t>상대방을 밟거나 걷어차는 행위.</t>
  </si>
  <si>
    <t>{'word': '행위', 'start_idx': 14, 'end_idx': 15, 'type': 'POH'}</t>
  </si>
  <si>
    <t>{'word': '상대방', 'start_idx': 0, 'end_idx': 2, 'type': 'POH'}</t>
  </si>
  <si>
    <t>리듬체조는 마루운동, 맨손체조, 무용 등의 요소가 가미된 전신 운동으로, 순발력, 조정력, 유연성을 향상시키고 스트레스를 해소시킨다.대한민국에는 1976년 신체조로 소개되었으며, 1984년 23회 LA 올림픽에서 정식 종목으로 채택되었다.</t>
  </si>
  <si>
    <t>{'word': '리듬체조', 'start_idx': 0, 'end_idx': 3, 'type': 'SPR'}</t>
  </si>
  <si>
    <t>{'word': '대한민국', 'start_idx': 74, 'end_idx': 77, 'type': 'LOC'}</t>
  </si>
  <si>
    <t>서비스 코트는 네트와 수직 방향으로 코트를 이등분 하는 센터라인과 네트로부터 1.98미터(6피트) 떨어진 숏서비스라인, 그리고 코트 바깥쪽 라인으로 표시된다.</t>
  </si>
  <si>
    <t>{'word': '서비스 코트', 'start_idx': 0, 'end_idx': 5, 'type': 'EQP'}</t>
  </si>
  <si>
    <t>{'word': '센터라인', 'start_idx': 31, 'end_idx': 34, 'type': 'POH'}</t>
  </si>
  <si>
    <t>그린은 페어웨이 끝 지점에 있으며, 잔디를 짧게 잘 깎아 다듬어 놓은 지점이다.</t>
  </si>
  <si>
    <t>{'word': '그린', 'start_idx': 0, 'end_idx': 1, 'type': 'POH'}</t>
  </si>
  <si>
    <t>{'word': '잔디', 'start_idx': 20, 'end_idx': 21, 'type': 'POH'}</t>
  </si>
  <si>
    <t>1881년에는 국제체조연맹(Fédération Internationale Gymnastique/FIG)이 설립되어 국제시합을 감독하게 되었으며 이 후 1896년 하계 올림픽에서 체조경기가 정식으로 시작되었다.</t>
  </si>
  <si>
    <t>{'word': '국제체조연맹', 'start_idx': 8, 'end_idx': 13, 'type': 'ORG'}</t>
  </si>
  <si>
    <t>{'word': '1881년', 'start_idx': 0, 'end_idx': 4, 'type': 'DAT'}</t>
  </si>
  <si>
    <t>인(in)은 18개 홀 가운데 10∼18번까지 후반의 9개 홀을 가리킨다.</t>
  </si>
  <si>
    <t>{'word': '18개 홀', 'start_idx': 7, 'end_idx': 11, 'type': 'POH'}</t>
  </si>
  <si>
    <t>뛰는 그룹은 2가지 서로 다른 도마를 사용하는 종목별 경승경기를 제외하고, 한번의 도마 연기를 실시한다.</t>
  </si>
  <si>
    <t>{'word': '도마 연기', 'start_idx': 46, 'end_idx': 50, 'type': 'SPR'}</t>
  </si>
  <si>
    <t>{'word': '도마', 'start_idx': 17, 'end_idx': 18, 'type': 'EQP'}</t>
  </si>
  <si>
    <t>레슬링 경기에서 두 선수는 유리한 그라운드 포지션을 잡기 위해 경쟁하게 된다.</t>
  </si>
  <si>
    <t>{'word': '레슬링 경기', 'start_idx': 0, 'end_idx': 5, 'type': 'SPR'}</t>
  </si>
  <si>
    <t>{'word': '그라운드 포지션', 'start_idx': 19, 'end_idx': 26, 'type': 'POH'}</t>
  </si>
  <si>
    <t>#또 다른 한가지는 롱서브는 셔틀콕의 체공시간이 숏서비스보다 길기 때문에 다음 타구를 준비할 시간이 상대적으로 많아서 사용하는 경우이다. 단식에서 이런모습을 종종 보인다. (특히 여자 단식의 경우)</t>
  </si>
  <si>
    <t>{'word': '단식', 'start_idx': 77, 'end_idx': 78, 'type': 'SPR'}</t>
  </si>
  <si>
    <t>{'word': '셔틀콕', 'start_idx': 16, 'end_idx': 18, 'type': 'EQP'}</t>
  </si>
  <si>
    <t>또한 대한민국, 말레이시아, 인도네시아 등도 지난 수십 년간 배드민턴 강국의 지위를 지켜왔으며, 가장 최근에는 중국이 가장 강세를 보이고 있다.</t>
  </si>
  <si>
    <t>{'word': '대한민국', 'start_idx': 3, 'end_idx': 6, 'type': 'LOC'}</t>
  </si>
  <si>
    <t>{'word': '인도네시아', 'start_idx': 16, 'end_idx': 20, 'type': 'LOC'}</t>
  </si>
  <si>
    <t>세계 체조 협회에서 1975년 1월 1일에 규정한 철봉은 광택이 나는 강철로 되어 있으며 지름 2.7cm, 길이 2.35~2.5m이고, 높이는 바닥에서 약 2.5m으로서 계속 사용하고 있다.</t>
  </si>
  <si>
    <t>{'word': '철봉', 'start_idx': 28, 'end_idx': 29, 'type': 'EQP'}</t>
  </si>
  <si>
    <t>{'word': '강철', 'start_idx': 39, 'end_idx': 40, 'type': 'POH'}</t>
  </si>
  <si>
    <t>이 놀이가 인도의 파견지에서 은퇴한 영국군 장교들에 의해 영국으로 흘러들어가게 되면서 점차 스포츠로서의 체계를 갖추게 되었다.</t>
  </si>
  <si>
    <t>{'word': '인도', 'start_idx': 6, 'end_idx': 7, 'type': 'LOC'}</t>
  </si>
  <si>
    <t>{'word': '영국', 'start_idx': 32, 'end_idx': 33, 'type': 'LOC'}</t>
  </si>
  <si>
    <t>제1라운드에서 양쪽 경기자가 서로 적극 공세를 취하려 들지 않거나 경기를 기피할 때, 또는 반칙 행위를 범한 경기자에게는 1경고점이 주어진다.</t>
  </si>
  <si>
    <t>{'word': '제1라운드', 'start_idx': 0, 'end_idx': 4, 'type': 'POH'}</t>
  </si>
  <si>
    <t>{'word': '1경고점', 'start_idx': 68, 'end_idx': 71, 'type': 'POH'}</t>
  </si>
  <si>
    <t>대부분 기계체조 관련 영화는 미국 할리우드 영화에 치우쳐져 있다.</t>
  </si>
  <si>
    <t>{'word': '기계체조', 'start_idx': 4, 'end_idx': 7, 'type': 'SPR'}</t>
  </si>
  <si>
    <t>{'word': '할리우드', 'start_idx': 19, 'end_idx': 22, 'type': 'LOC'}</t>
  </si>
  <si>
    <t>곤봉의 기본 동작으로는 흔들기, 돌리기, 던지기, 받기, 때리기(부딪치기, 마주치기), 풍차돌리기, 휘돌리기 등이 있다.</t>
  </si>
  <si>
    <t>{'word': '때리기', 'start_idx': 32, 'end_idx': 34, 'type': 'POH'}</t>
  </si>
  <si>
    <t>{'word': '돌리기', 'start_idx': 18, 'end_idx': 20, 'type': 'POH'}</t>
  </si>
  <si>
    <t>경기 종목으로 크로스컨트리 스키와 텔레마크 스키가 포함된다.</t>
  </si>
  <si>
    <t>{'word': '크로스컨트리 스키', 'start_idx': 8, 'end_idx': 16, 'type': 'SPR'}</t>
  </si>
  <si>
    <t>{'word': '텔레마크 스키', 'start_idx': 19, 'end_idx': 25, 'type': 'SPR'}</t>
  </si>
  <si>
    <t>단 헤어핀의 경우는 백핸드 스트로크로 구사하게되면 손목을 더 쉽게 사용할 수 있어서 백핸드 스트로크가 비교적으로 쉽다.</t>
  </si>
  <si>
    <t>{'word': '백핸드 스트로크', 'start_idx': 11, 'end_idx': 18, 'type': 'POH'}</t>
  </si>
  <si>
    <t>{'word': '헤어핀', 'start_idx': 2, 'end_idx': 4, 'type': 'POH'}</t>
  </si>
  <si>
    <t>또한 신체를 균형있게 발달시키고 근골격계의 효율성을 도와주며, 체력을 향상시킨다.</t>
  </si>
  <si>
    <t>{'word': '신체', 'start_idx': 3, 'end_idx': 4, 'type': 'POH'}</t>
  </si>
  <si>
    <t>{'word': '근골격계', 'start_idx': 18, 'end_idx': 21, 'type': 'POH'}</t>
  </si>
  <si>
    <t>#피닉스(phoenix)는 파보다 6타 적은 타수를 말한다. 아직까지 이를 기록한 골퍼는 없다.</t>
  </si>
  <si>
    <t>{'word': '골퍼', 'start_idx': 46, 'end_idx': 47, 'type': 'POH'}</t>
  </si>
  <si>
    <t>{'word': '피닉스', 'start_idx': 1, 'end_idx': 3, 'type': 'POH'}</t>
  </si>
  <si>
    <t>워터 해저드는 바다·연못·하천·호수·도랑 등 물이 차 있는 지역.</t>
  </si>
  <si>
    <t>{'word': '호수', 'start_idx': 17, 'end_idx': 18, 'type': 'POH'}</t>
  </si>
  <si>
    <t>{'word': '바다', 'start_idx': 8, 'end_idx': 9, 'type': 'POH'}</t>
  </si>
  <si>
    <t>올림픽 배드민턴의 세부 종목은 남자 및 여자 단식, 남자 및 여자 복식, 그리고 혼합 복식의 5개 종목으로 구성된다.</t>
  </si>
  <si>
    <t>{'word': '남자 및 여자 단식, 남자 및 여자 복식, 그리고 혼합 복식', 'start_idx': 17, 'end_idx': 49, 'type': 'SPR'}</t>
  </si>
  <si>
    <t>{'word': '올림픽 배드민턴', 'start_idx': 0, 'end_idx': 7, 'type': 'SPR'}</t>
  </si>
  <si>
    <t>리시버측이 포인트를 땄을 때 그 팀의 갱신된 점수가 짝수이면 오른쪽 서비스 코트에 서있던 선수가, 홀수이면 왼쪽 서비스 코트에 서있던 선수가 서브를 시작하게 된다.</t>
  </si>
  <si>
    <t>{'word': '서비스 코트', 'start_idx': 63, 'end_idx': 68, 'type': 'EQP'}</t>
  </si>
  <si>
    <t>{'word': '서브', 'start_idx': 79, 'end_idx': 80, 'type': 'POH'}</t>
  </si>
  <si>
    <t>마라톤은 그리스의 아테네에서 북동쪽 약 30Km 떨어져 위치한 지역 이름으로서, 이 곳에서 기원전 490년에 페르시아군과 아테네군 사이에 전투가 있었다.</t>
  </si>
  <si>
    <t>{'word': '아테네', 'start_idx': 10, 'end_idx': 12, 'type': 'LOC'}</t>
  </si>
  <si>
    <t>쿼드러플보기(quadruple bogey)는 파보다 4타 많은 타수를 말한다.</t>
  </si>
  <si>
    <t>{'word': '파', 'start_idx': 25, 'end_idx': 25, 'type': 'POH'}</t>
  </si>
  <si>
    <t>{'word': '쿼드러플보기', 'start_idx': 0, 'end_idx': 5, 'type': 'POH'}</t>
  </si>
  <si>
    <t>팔운동의 종류로는 손짚고 옆으로 누워 팔굽히기·물구나무서서 팔굽혀 펴기·손짚고 옆으로 팔 위로 밀어내기·손짚고 팔 옆으로 밀어내기·손짚고 엎드려 팔굽혀 펴기 등이 있다.</t>
  </si>
  <si>
    <t>{'word': '팔운동', 'start_idx': 0, 'end_idx': 2, 'type': 'SPR'}</t>
  </si>
  <si>
    <t>{'word': '물구나무서서 팔굽혀 펴기', 'start_idx': 26, 'end_idx': 38, 'type': 'POH'}</t>
  </si>
  <si>
    <t>골프라는 단어의 어원은 스코틀랜드 고어인 ‘고프’(goulf)에서 유래됐다는 것이 최근 골프 역사가들의 중론이다.</t>
  </si>
  <si>
    <t>{'word': '골프', 'start_idx': 0, 'end_idx': 1, 'type': 'SPR'}</t>
  </si>
  <si>
    <t>{'word': '스코틀랜드', 'start_idx': 13, 'end_idx': 17, 'type': 'LOC'}</t>
  </si>
  <si>
    <t>이글(eagle)은 파보다 2타 적은 타수를 이른다.</t>
  </si>
  <si>
    <t>{'word': '이글', 'start_idx': 0, 'end_idx': 1, 'type': 'POH'}</t>
  </si>
  <si>
    <t>{'word': 'eagle', 'start_idx': 3, 'end_idx': 7, 'type': 'POH'}</t>
  </si>
  <si>
    <t>한국권투위원회(KBC)에서는 단체 성격을 아마추어 복서를 제외한 (프로)남·녀권투계를 보호육성하는 단체로 규정하고 있다.</t>
  </si>
  <si>
    <t>{'word': '한국권투위원회', 'start_idx': 0, 'end_idx': 6, 'type': 'ORG'}</t>
  </si>
  <si>
    <t>{'word': 'KBC', 'start_idx': 8, 'end_idx': 10, 'type': 'ORG'}</t>
  </si>
  <si>
    <t>가장 빠르고 강력하며, 배드민턴을 치는 사람이라면 선망의 대상이 되는 스트로크라고 할 수 있다.</t>
  </si>
  <si>
    <t>{'word': '배드민턴', 'start_idx': 13, 'end_idx': 16, 'type': 'SPR'}</t>
  </si>
  <si>
    <t>{'word': '스트로크', 'start_idx': 39, 'end_idx': 42, 'type': 'POH'}</t>
  </si>
  <si>
    <t>남녀 모두 규정 및 자유 연기 두 가지가 있다.</t>
  </si>
  <si>
    <t>{'word': '규정', 'start_idx': 6, 'end_idx': 7, 'type': 'POH'}</t>
  </si>
  <si>
    <t>{'word': '자유 연기', 'start_idx': 11, 'end_idx': 15, 'type': 'POH'}</t>
  </si>
  <si>
    <t>이런 종류의 경기는 아주 긴 단독 스테이지 대회로 며칠간에 걸쳐 계속된다.</t>
  </si>
  <si>
    <t>{'word': '이런 종류의 경기', 'start_idx': 0, 'end_idx': 8, 'type': 'SPR'}</t>
  </si>
  <si>
    <t>{'word': '아주 긴 단독 스테이지 대회', 'start_idx': 11, 'end_idx': 25, 'type': 'POH'}</t>
  </si>
  <si>
    <t>여자의 경우는 527m 이상의 롱홀 파는 6으로 되어 있다.</t>
  </si>
  <si>
    <t>{'word': '527m 이상', 'start_idx': 8, 'end_idx': 14, 'type': 'POH'}</t>
  </si>
  <si>
    <t>{'word': '롱홀 파', 'start_idx': 17, 'end_idx': 20, 'type': 'POH'}</t>
  </si>
  <si>
    <t>2016년 하계 올림픽에서는 여자부의 박인비가 금메달을 획득했다.</t>
  </si>
  <si>
    <t>{'word': '여자부', 'start_idx': 16, 'end_idx': 18, 'type': 'POH'}</t>
  </si>
  <si>
    <t>{'word': '박인비', 'start_idx': 21, 'end_idx': 23, 'type': 'PER'}</t>
  </si>
  <si>
    <t>단, 숏서브를 하는 모든 경우에 있어 리시버의 반구 방법이 공을 띄우는 것은 아니며, 숏서브의 각이 안좋거나 서브 도중 셔틀콕이 뜨게된다면, 상대방에게 점수 획득의 기회를 헌납하는 결과를 가져올 수 있다.</t>
  </si>
  <si>
    <t>{'word': '셔틀콕', 'start_idx': 67, 'end_idx': 69, 'type': 'EQP'}</t>
  </si>
  <si>
    <t>{'word': '서브', 'start_idx': 61, 'end_idx': 62, 'type': 'POH'}</t>
  </si>
  <si>
    <t>1896년에 하계 올림픽이 개최됨에 따라 세계각국에서 권투연맹이 결성되어 국제교류가 시작되었다.</t>
  </si>
  <si>
    <t>{'word': '권투연맹', 'start_idx': 30, 'end_idx': 33, 'type': 'ORG'}</t>
  </si>
  <si>
    <t>{'word': '1896년', 'start_idx': 0, 'end_idx': 4, 'type': 'DAT'}</t>
  </si>
  <si>
    <t>1860년 초, 런던의 장난감 판매상이었던 아이작 스프랫이 Badminton Battledore - a new game이라는 제목의 책을 펴냈으나, 아쉽게도 이 책은 현재 남아있지 않다.</t>
  </si>
  <si>
    <t>{'word': '런던', 'start_idx': 9, 'end_idx': 10, 'type': 'LOC'}</t>
  </si>
  <si>
    <t>{'word': '아이작 스프랫', 'start_idx': 24, 'end_idx': 30, 'type': 'PER'}</t>
  </si>
  <si>
    <t>현재 국제체조경기에서 사용하는 안마는 겉에 가죽이 씌워져 있으며, 길이가 1.6m, 폭이 34~36cm이고 한가운데의 받침대를 포함해 바닥에서 꼭대기까지의 높이가 약 110cm이며 구부러진 나무로 만든 높이 12cm의 손잡이(안장머리) 2개가 말(안마) 위에 40~45cm의 간격을 두고 끼어져 있는 것을 원칙으로 한다.</t>
  </si>
  <si>
    <t>{'word': '국제체조경기', 'start_idx': 3, 'end_idx': 8, 'type': 'SPR'}</t>
  </si>
  <si>
    <t>{'word': '안마', 'start_idx': 17, 'end_idx': 18, 'type': 'EQP'}</t>
  </si>
  <si>
    <t>이후 곡예라든가 전쟁에 필요한 준비 혹은 무엇인가 생활의 필요에 의하여 사람이 기계를 이용하여 몸을 움직인 역사는 대단히 오래된 것이라고 생각되나 정식적으로는 18세기 구츠무츠(J.GutsMut-hs)가 세운 기본 체계를 독일체조의 아버지라고 하는 얀(F.L.Jahn)이 창시했다고 보는 것이 옳다.</t>
  </si>
  <si>
    <t>{'word': '얀', 'start_idx': 139, 'end_idx': 139, 'type': 'PER'}</t>
  </si>
  <si>
    <t>{'word': '구츠무츠', 'start_idx': 94, 'end_idx': 97, 'type': 'PER'}</t>
  </si>
  <si>
    <t>오늘날 배드민턴 세계 연맹(BWF)은 전 세계의 배드민턴 관련 업무를 관장하며 배드민턴의 국제적인 보급 및 발전을 추구한다.</t>
  </si>
  <si>
    <t>{'word': 'BWF', 'start_idx': 15, 'end_idx': 17, 'type': 'ORG'}</t>
  </si>
  <si>
    <t>{'word': '배드민턴 세계 연맹', 'start_idx': 4, 'end_idx': 13, 'type': 'ORG'}</t>
  </si>
  <si>
    <t>핀(pin)은 홀에 꽂는 푯대를 뜻한다.</t>
  </si>
  <si>
    <t>{'word': '푯대', 'start_idx': 14, 'end_idx': 15, 'type': 'POH'}</t>
  </si>
  <si>
    <t>{'word': '홀', 'start_idx': 8, 'end_idx': 8, 'type': 'POH'}</t>
  </si>
  <si>
    <t>핸디캡(handicap)은 스코어 평균화를 위한 표준타수를 이르는 말이다.</t>
  </si>
  <si>
    <t>{'word': '핸디캡', 'start_idx': 0, 'end_idx': 2, 'type': 'POH'}</t>
  </si>
  <si>
    <t>{'word': 'handicap', 'start_idx': 4, 'end_idx': 11, 'type': 'POH'}</t>
  </si>
  <si>
    <t>복식 경기의 첫 랠리 때, 서버측과 리시버측은 각자의 좌우 위치, 즉 누가 먼저 서브를 할지와 누가 먼저 리시브를 할 것인지를 각각 정할 수 있다.</t>
  </si>
  <si>
    <t>{'word': '랠리', 'start_idx': 9, 'end_idx': 10, 'type': 'POH'}</t>
  </si>
  <si>
    <t>{'word': '복식 경기', 'start_idx': 0, 'end_idx': 4, 'type': 'POH'}</t>
  </si>
  <si>
    <t>경부선 철도로 서울역과 수원역 간 거리가 41.5km이며 마라톤 공식 거리와 거의 비슷하다.</t>
  </si>
  <si>
    <t>{'word': '마라톤', 'start_idx': 32, 'end_idx': 34, 'type': 'SPR'}</t>
  </si>
  <si>
    <t>{'word': '서울', 'start_idx': 8, 'end_idx': 9, 'type': 'LOC'}</t>
  </si>
  <si>
    <t>부비(booby)는 최하위 또는 최하위에서 두 번째 성적을 일컫는 말이다.</t>
  </si>
  <si>
    <t>{'word': '최하위', 'start_idx': 11, 'end_idx': 13, 'type': 'POH'}</t>
  </si>
  <si>
    <t>{'word': '부비', 'start_idx': 0, 'end_idx': 1, 'type': 'POH'}</t>
  </si>
  <si>
    <t>철봉의 기술로서 차오르기나 팔로 지지하여 도는 등의 기술이 많다.</t>
  </si>
  <si>
    <t>{'word': '철봉', 'start_idx': 0, 'end_idx': 1, 'type': 'SPR'}</t>
  </si>
  <si>
    <t>{'word': '팔로 지지하여 도는 등의 기술', 'start_idx': 15, 'end_idx': 30, 'type': 'POH'}</t>
  </si>
  <si>
    <t>땀이 많은 사람의 경우 미끄러짐을 방지하기 위해 건조한 재질의 건식(乾式) 그립을 흔히 사용한다.</t>
  </si>
  <si>
    <t>{'word': '건식(乾式) 그립', 'start_idx': 35, 'end_idx': 43, 'type': 'EQP'}</t>
  </si>
  <si>
    <t>{'word': '건조한 재질', 'start_idx': 27, 'end_idx': 32, 'type': 'POH'}</t>
  </si>
  <si>
    <t>팔운동의 종류로는 돌리기, 흔들기, 들어 흔들기, 굽혀 펴기, 휘돌리기, 비틀기 등이 있다.</t>
  </si>
  <si>
    <t>{'word': '들어 흔들기', 'start_idx': 20, 'end_idx': 25, 'type': 'POH'}</t>
  </si>
  <si>
    <t>스프린트는 남자는 10km, 여자는 7.5km 개인 경기이며, 선수의 출발은 30초나 1분 간격으로 한다.</t>
  </si>
  <si>
    <t>{'word': '개인 경기', 'start_idx': 26, 'end_idx': 30, 'type': 'SPR'}</t>
  </si>
  <si>
    <t>{'word': '스프린트', 'start_idx': 0, 'end_idx': 3, 'type': 'SPR'}</t>
  </si>
  <si>
    <t>평균대에서의 전형적인 정지요소(정지)는 3회까지 허용한다.</t>
  </si>
  <si>
    <t>{'word': '정지요소', 'start_idx': 12, 'end_idx': 15, 'type': 'POH'}</t>
  </si>
  <si>
    <t>{'word': '평균대', 'start_idx': 0, 'end_idx': 2, 'type': 'SPR'}</t>
  </si>
  <si>
    <t>서브와 함께 랠리가 시작되며, 이 순간 서버와 리시버는 대각선 반대방향의 서비스 코트 안쪽에 서 있어야 한다.</t>
  </si>
  <si>
    <t>{'word': '서비스 코트', 'start_idx': 41, 'end_idx': 46, 'type': 'EQP'}</t>
  </si>
  <si>
    <t>{'word': '서버와 리시버', 'start_idx': 22, 'end_idx': 28, 'type': 'POH'}</t>
  </si>
  <si>
    <t>고대 올림픽 경기에서 5종 경기의 한 종목으로 실시되었으며 기원전 668년에는 레슬링과 복싱을 혼합한 판크라치온(pankration)이란 경기가 벌어졌다.</t>
  </si>
  <si>
    <t>{'word': 'pankration', 'start_idx': 63, 'end_idx': 72, 'type': 'SPR'}</t>
  </si>
  <si>
    <t>{'word': '판크라치온', 'start_idx': 57, 'end_idx': 61, 'type': 'SPR'}</t>
  </si>
  <si>
    <t>국제대회는 BWF에서 지정한 8개의 등급으로 나뉜다.</t>
  </si>
  <si>
    <t>{'word': '국제대회', 'start_idx': 0, 'end_idx': 3, 'type': 'POH'}</t>
  </si>
  <si>
    <t>{'word': 'BWF', 'start_idx': 6, 'end_idx': 8, 'type': 'ORG'}</t>
  </si>
  <si>
    <t>공은 직경 18~20cm, 무게 400g 내외로 규정되어 있다.</t>
  </si>
  <si>
    <t>{'word': '공', 'start_idx': 0, 'end_idx': 0, 'type': 'EQP'}</t>
  </si>
  <si>
    <t>{'word': '무게', 'start_idx': 15, 'end_idx': 16, 'type': 'POH'}</t>
  </si>
  <si>
    <t>노르딕 스키(Nordic ski)는 스키 부츠의 앞쪽은 바인딩에 고정되어 있고, 뒷꿈치는 스키에서 떨어지는 형태의 스키이다.</t>
  </si>
  <si>
    <t>{'word': '노르딕 스키', 'start_idx': 0, 'end_idx': 5, 'type': 'SPR'}</t>
  </si>
  <si>
    <t>{'word': '스키', 'start_idx': 64, 'end_idx': 65, 'type': 'SPR'}</t>
  </si>
  <si>
    <t>그러나 그 경기회에서 실시한 종목은 순수한 체조경기로서는 인정하기에 곤란하였다.</t>
  </si>
  <si>
    <t>{'word': '그 경기회에서 실시한 종목', 'start_idx': 4, 'end_idx': 17, 'type': 'SPR'}</t>
  </si>
  <si>
    <t>{'word': '순수한 체조경기', 'start_idx': 20, 'end_idx': 27, 'type': 'SPR'}</t>
  </si>
  <si>
    <t>단체 종합 결승은 1팀에서 최대 6명 중 각 종목 1명씩 3명이 경기를 펼쳐, 총점을 더한 값을 가지고 순위를 매긴다.</t>
  </si>
  <si>
    <t>{'word': '종목', 'start_idx': 25, 'end_idx': 26, 'type': 'POH'}</t>
  </si>
  <si>
    <t>{'word': '총점', 'start_idx': 44, 'end_idx': 45, 'type': 'POH'}</t>
  </si>
  <si>
    <t>기원전 2000여 년 전의 것으로 추정되는 고대 메소포타미아의 부조를 들 수 있으며, 고대 이집트 제18왕조의 무덤에서 미츠키나이테 발굴된 권투시합 장면이 있다.</t>
  </si>
  <si>
    <t>{'word': '권투', 'start_idx': 78, 'end_idx': 79, 'type': 'SPR'}</t>
  </si>
  <si>
    <t>{'word': '이집트', 'start_idx': 51, 'end_idx': 53, 'type': 'ORG'}</t>
  </si>
  <si>
    <t>보충 그립은 뒷면 전체에 접착성분이 도포되어 있으며, 오버그립은 그립이 시작되는 부분에만 작게 접착 부분이 있다.</t>
  </si>
  <si>
    <t>{'word': '보충 그립', 'start_idx': 0, 'end_idx': 4, 'type': 'EQP'}</t>
  </si>
  <si>
    <t>{'word': '접착성분', 'start_idx': 14, 'end_idx': 17, 'type': 'POH'}</t>
  </si>
  <si>
    <t>어텐션(attention)은 공격이 소극적일 때 경고 전에 하는 예고.</t>
  </si>
  <si>
    <t>{'word': '예고', 'start_idx': 36, 'end_idx': 37, 'type': 'POH'}</t>
  </si>
  <si>
    <t>{'word': '어텐션', 'start_idx': 0, 'end_idx': 2, 'type': 'POH'}</t>
  </si>
  <si>
    <t>해저드는 경기를 어렵게 만들기 위해 여기저기에 특별히 설치한 방해물 또는 함정으로 벙커(bunker)와 워터 해저드(water ha­zard)가 있다.</t>
  </si>
  <si>
    <t>{'word': '해저드', 'start_idx': 0, 'end_idx': 2, 'type': 'POH'}</t>
  </si>
  <si>
    <t>{'word': '벙커', 'start_idx': 46, 'end_idx': 47, 'type': 'POH'}</t>
  </si>
  <si>
    <t>포핸드 스트로크는 이스턴 그립을 쥔 상태로 자연스럽게 뒤에서 앞으로 스윙하는 방식이다.</t>
  </si>
  <si>
    <t>{'word': '포핸드 스트로크', 'start_idx': 0, 'end_idx': 7, 'type': 'POH'}</t>
  </si>
  <si>
    <t>{'word': '이스턴 그립', 'start_idx': 10, 'end_idx': 15, 'type': 'POH'}</t>
  </si>
  <si>
    <t>비슷한, 장거리 다중 스테이지 경주로는 이탈리아에서 열리는 지로 디탈리아와 스페인의 부엘타 아 에스파냐가 있다.</t>
  </si>
  <si>
    <t>{'word': '지로 디탈리아', 'start_idx': 33, 'end_idx': 39, 'type': 'POH'}</t>
  </si>
  <si>
    <t>{'word': '이탈리아', 'start_idx': 22, 'end_idx': 25, 'type': 'LOC'}</t>
  </si>
  <si>
    <t>오늘날 영어에서 기계체조를 뜻하는 단어는 Apparatus gymnastics인데 최근에 언론이나 일상적으로 Artistic gymnastics를 사용한다.</t>
  </si>
  <si>
    <t>{'word': 'Apparatus gymnastics', 'start_idx': 23, 'end_idx': 42, 'type': 'SPR'}</t>
  </si>
  <si>
    <t>{'word': 'Artistic gymnastics', 'start_idx': 61, 'end_idx': 79, 'type': 'SPR'}</t>
  </si>
  <si>
    <t>바이애슬론의 변형으로 크로스컨트리 달리기와 사격을 결합한 하계 바이애슬론이 존재한다.</t>
  </si>
  <si>
    <t>{'word': '하계 바이애슬론', 'start_idx': 32, 'end_idx': 39, 'type': 'SPR'}</t>
  </si>
  <si>
    <t>{'word': '사격', 'start_idx': 24, 'end_idx': 25, 'type': 'SPR'}</t>
  </si>
  <si>
    <t>그렇기에 숏서브는 이후에 운영에 있어 공격적으로 할 수 있도록 하는 출발점이라고도 할 수 있다.</t>
  </si>
  <si>
    <t>{'word': '숏서브', 'start_idx': 5, 'end_idx': 7, 'type': 'POH'}</t>
  </si>
  <si>
    <t>{'word': '출발점', 'start_idx': 38, 'end_idx': 40, 'type': 'POH'}</t>
  </si>
  <si>
    <t>여기에 이르기까지 친 스트로크(타수)가 한 홀에 대한 점수이다.</t>
  </si>
  <si>
    <t>{'word': '스트로크', 'start_idx': 12, 'end_idx': 15, 'type': 'POH'}</t>
  </si>
  <si>
    <t>{'word': '타수', 'start_idx': 17, 'end_idx': 18, 'type': 'POH'}</t>
  </si>
  <si>
    <t>단체 경기의 채점 각각 1명씩 실시하여 팀원 전체 점수를 합산한다.</t>
  </si>
  <si>
    <t>{'word': '단체 경기', 'start_idx': 0, 'end_idx': 4, 'type': 'SPR'}</t>
  </si>
  <si>
    <t>{'word': '팀원 전체 점수', 'start_idx': 22, 'end_idx': 29, 'type': 'POH'}</t>
  </si>
  <si>
    <t>초기에는 그 지역의 바람이 많고 습한 날씨 때문에 상류계층들은 양모로 만들어진 공을 선호했으나, 시간이 지나면서 결국 셔틀콕이 가장 많이 사용되게 되었다.</t>
  </si>
  <si>
    <t>{'word': '공', 'start_idx': 44, 'end_idx': 44, 'type': 'EQP'}</t>
  </si>
  <si>
    <t>{'word': '양모', 'start_idx': 35, 'end_idx': 36, 'type': 'POH'}</t>
  </si>
  <si>
    <t>연기의 대부분은 흔들기를 중심으로 하는 기술과 두 손을 떼고 하는 기술이어야 하며, 연기 중에 적어도 하나는 힘을 나타내는 기술과 봉 위 또는 아래서, 두 손을 떼고 하는 B난이도의 기술을 구사해야 한다.</t>
  </si>
  <si>
    <t>{'word': '연기', 'start_idx': 0, 'end_idx': 1, 'type': 'SPR'}</t>
  </si>
  <si>
    <t>{'word': 'B난이도의 기술', 'start_idx': 96, 'end_idx': 103, 'type': 'POH'}</t>
  </si>
  <si>
    <t>그러나 동호인의 경우 높은 급수가 아닌 이상 대부분 공을 띄우는 경우가 많기때문에 숏서브를 잘 하게되면 공격권을 자신의 팀에게 쉽게 가져올 수 있다.</t>
  </si>
  <si>
    <t>{'word': '공', 'start_idx': 29, 'end_idx': 29, 'type': 'EQP'}</t>
  </si>
  <si>
    <t>{'word': '숏서브', 'start_idx': 46, 'end_idx': 48, 'type': 'POH'}</t>
  </si>
  <si>
    <t>탄소 섬유 합성수지가 사용되기 전까지 라켓의 소재로는 알루미늄과 같은 경금속이 주로 쓰였으며, 그보다 이전에는 나무 재질이 사용되었다.</t>
  </si>
  <si>
    <t>{'word': '경금속', 'start_idx': 39, 'end_idx': 41, 'type': 'POH'}</t>
  </si>
  <si>
    <t>그러나, 일일 경기의 경우 선수가 개인적으로 시간을 재는 경우, 가장 짧은 시간안에 경기를 완주하는 선수가 승자가 된다.</t>
  </si>
  <si>
    <t>{'word': '가장 짧은 시간', 'start_idx': 36, 'end_idx': 43, 'type': 'POH'}</t>
  </si>
  <si>
    <t>{'word': '승자', 'start_idx': 60, 'end_idx': 61, 'type': 'POH'}</t>
  </si>
  <si>
    <t>레슬링(영어: wrestling, 문화어: 레스링)은 던지기, 쓰러뜨리기, 꺾기, 누르기 등 여러 가지 근접 기술을 이용하여 두 사람이 겨루는 격투 스포츠의 하나이다.</t>
  </si>
  <si>
    <t>{'word': '격투 스포츠', 'start_idx': 80, 'end_idx': 85, 'type': 'SPR'}</t>
  </si>
  <si>
    <t>봉의 높이와 폭은 경우에 따라 조정이 가능하다.</t>
  </si>
  <si>
    <t>{'word': '봉', 'start_idx': 0, 'end_idx': 0, 'type': 'EQP'}</t>
  </si>
  <si>
    <t>{'word': '폭', 'start_idx': 7, 'end_idx': 7, 'type': 'POH'}</t>
  </si>
  <si>
    <t>또는 파(par)는 주어진 표준 타수에 꼭 맞게 치는 것을 가리킨다.</t>
  </si>
  <si>
    <t>{'word': '표준 타수', 'start_idx': 15, 'end_idx': 19, 'type': 'POH'}</t>
  </si>
  <si>
    <t>{'word': '파', 'start_idx': 3, 'end_idx': 3, 'type': 'POH'}</t>
  </si>
  <si>
    <t>마라톤(문화어: 마라손, 마라쏜, 영어: marathon)은 육상 경기의 한 종목으로, 42.195 km (26마일과 385야드)의 거리를 달리는 도로 경주이다.</t>
  </si>
  <si>
    <t>{'word': 'marathon', 'start_idx': 23, 'end_idx': 30, 'type': 'SPR'}</t>
  </si>
  <si>
    <t>서버와 리시버는 서버가 셔틀콕을 치기 전까지는 반드시 서비스 코트 안에 위치해야 하며, 라인을 밟아서는 안 된다.</t>
  </si>
  <si>
    <t>{'word': '셔틀콕', 'start_idx': 13, 'end_idx': 15, 'type': 'EQP'}</t>
  </si>
  <si>
    <t>{'word': '서버', 'start_idx': 9, 'end_idx': 10, 'type': 'POH'}</t>
  </si>
  <si>
    <t>바이애슬론(biathlon)은 크로스컨트리 스키와 사격을 결합한 겨울 스포츠이다.</t>
  </si>
  <si>
    <t>{'word': '겨울 스포츠', 'start_idx': 36, 'end_idx': 41, 'type': 'SPR'}</t>
  </si>
  <si>
    <t>{'word': '바이애슬론', 'start_idx': 0, 'end_idx': 4, 'type': 'SPR'}</t>
  </si>
  <si>
    <t>선수들이 미리 약속을 해두었든 아니면 즉석에서 이루어지든 성공적인 탈출을 돕거나 방지하거나, 또는 그룹의 선두에 스프린터를 데려다 주는등의 여러 방면에서 중요하다.</t>
  </si>
  <si>
    <t>{'word': '성공적인 탈출', 'start_idx': 32, 'end_idx': 38, 'type': 'POH'}</t>
  </si>
  <si>
    <t>{'word': '스프린터', 'start_idx': 63, 'end_idx': 66, 'type': 'POH'}</t>
  </si>
  <si>
    <t>따라서 리시버는 안정적으로 게임을 운영하기 위해 공을 띄우는 선택을 할 가능성이 높아진다.</t>
  </si>
  <si>
    <t>{'word': '공', 'start_idx': 27, 'end_idx': 27, 'type': 'EQP'}</t>
  </si>
  <si>
    <t>{'word': '리시버', 'start_idx': 4, 'end_idx': 6, 'type': 'POH'}</t>
  </si>
  <si>
    <t>평균 운동은 팔을 옆으로 들며, 한 다리는 뒤로 내딛고, 몸을 옆으로 누이는 운동이다.</t>
  </si>
  <si>
    <t>{'word': '평균 운동', 'start_idx': 0, 'end_idx': 4, 'type': 'SPR'}</t>
  </si>
  <si>
    <t>{'word': '몸', 'start_idx': 32, 'end_idx': 32, 'type': 'POH'}</t>
  </si>
  <si>
    <t>골프화는 미끄럼을 방지하기 위해 신발바닥에 스파이크를 단 것으로, 무거운 것이 오히려 덜 피로하며 안정감이 있다.</t>
  </si>
  <si>
    <t>{'word': '골프화', 'start_idx': 0, 'end_idx': 2, 'type': 'EQP'}</t>
  </si>
  <si>
    <t>{'word': '스파이크', 'start_idx': 24, 'end_idx': 27, 'type': 'POH'}</t>
  </si>
  <si>
    <t>맨손체조는 신체의 부분 운동과 전신 운동으로 나뉜다.</t>
  </si>
  <si>
    <t>{'word': '전신 운동', 'start_idx': 17, 'end_idx': 21, 'type': 'SPR'}</t>
  </si>
  <si>
    <t>{'word': '신체의 부분 운동', 'start_idx': 6, 'end_idx': 14, 'type': 'SPR'}</t>
  </si>
  <si>
    <t>체조선수는 두 손으로 말 위에 있는 손잡이를 잡고 균형을 유지하면서, 한 다리나 두 다리를 빙빙 돌리거나 두 다리를 가위처럼 교차시키는 등 몸통과 다리를 쉬지 않고 움직인다.</t>
  </si>
  <si>
    <t>{'word': '체조선수', 'start_idx': 0, 'end_idx': 3, 'type': 'POH'}</t>
  </si>
  <si>
    <t>{'word': '손잡이', 'start_idx': 20, 'end_idx': 22, 'type': 'EQP'}</t>
  </si>
  <si>
    <t>구간은 4km 주행 후 엎드려 쏘고, 8km 주행 후 서서 쏘고, 12km 주행 후 엎드려 쏘고, 16km 주행 후 서서 쏘고, 20km 주행 후 결승과 비슷한 형식으로 구성된다.</t>
  </si>
  <si>
    <t>{'word': '구간', 'start_idx': 0, 'end_idx': 1, 'type': 'SPR'}</t>
  </si>
  <si>
    <t>{'word': '엎드려 쏘고', 'start_idx': 47, 'end_idx': 52, 'type': 'POH'}</t>
  </si>
  <si>
    <t>마무리는 양다리를 벌리고 봉을 뛰어넘거나, 앞 또는 뒷방향으로 공중제비 돌며 착지하는 것이다.</t>
  </si>
  <si>
    <t>{'word': '양다리를 벌리고 봉을 뛰어넘거나', 'start_idx': 5, 'end_idx': 21, 'type': 'POH'}</t>
  </si>
  <si>
    <t>{'word': '공중제비', 'start_idx': 35, 'end_idx': 38, 'type': 'POH'}</t>
  </si>
  <si>
    <t>현재 마라톤의 강국은 케냐와 에티오피아이며 (대한민국은 금메달 2개 획득), 이 중 에티오피아는 올림픽에서 금메달도 여러 개 딴 실질적 마라톤 강국이다.</t>
  </si>
  <si>
    <t>{'word': '마라톤', 'start_idx': 3, 'end_idx': 5, 'type': 'SPR'}</t>
  </si>
  <si>
    <t>{'word': '케냐', 'start_idx': 12, 'end_idx': 13, 'type': 'LOC'}</t>
  </si>
  <si>
    <t>레슬링 용구로 계량기·경기 시계·진행 게시판·저지 램프 등이 있다.</t>
  </si>
  <si>
    <t>{'word': '경기 시계', 'start_idx': 12, 'end_idx': 16, 'type': 'EQP'}</t>
  </si>
  <si>
    <t>타월형 재질 그립은 항상 보충 그립으로만 사용된다.</t>
  </si>
  <si>
    <t>{'word': '그립', 'start_idx': 7, 'end_idx': 8, 'type': 'EQP'}</t>
  </si>
  <si>
    <t>{'word': '타월형 재질', 'start_idx': 0, 'end_idx': 5, 'type': 'POH'}</t>
  </si>
  <si>
    <t>1908년 9월에는 한국 최초의 체조단체라고 볼 수 있는 무도체조 기계부라는 것이 창설되었고, 그 후 중앙기독청년회 주최로 현상 철봉대회가 개최되었으며, 1931년 10월 31일 제1회 전 조선 기계 체조 대회가 중앙기독교청년회 체육관에서 개최되었는데, 이때 처음으로 기계체조라는 용어를 사용했다.</t>
  </si>
  <si>
    <t>{'word': '무도체조 기계부', 'start_idx': 32, 'end_idx': 39, 'type': 'ORG'}</t>
  </si>
  <si>
    <t>{'word': '1908년 9월', 'start_idx': 0, 'end_idx': 7, 'type': 'DAT'}</t>
  </si>
  <si>
    <t>50m 밖의 표적 5개에 사격을 하여야 하며, 한 구간당 탄환은 탄창에 5발, 예비탄환 3발이 주어진다.</t>
  </si>
  <si>
    <t>{'word': '사격', 'start_idx': 14, 'end_idx': 15, 'type': 'SPR'}</t>
  </si>
  <si>
    <t>{'word': '탄환', 'start_idx': 32, 'end_idx': 33, 'type': 'EQP'}</t>
  </si>
  <si>
    <t>정규 라운드 또는 정해진 라운드에서 가장 적은 타수를 기록한 선수가 이긴다.</t>
  </si>
  <si>
    <t>{'word': '선수', 'start_idx': 34, 'end_idx': 35, 'type': 'POH'}</t>
  </si>
  <si>
    <t>{'word': '정규 라운드', 'start_idx': 0, 'end_idx': 5, 'type': 'POH'}</t>
  </si>
  <si>
    <t>다리 운동의 종류로는 무등태워 무릎 굽혀 펴기 등이 있다.</t>
  </si>
  <si>
    <t>{'word': '무등태워 무릎 굽혀 펴기', 'start_idx': 12, 'end_idx': 24, 'type': 'POH'}</t>
  </si>
  <si>
    <t>{'word': '다리 운동', 'start_idx': 0, 'end_idx': 4, 'type': 'SPR'}</t>
  </si>
  <si>
    <t>체조 주관 기관에는 국제 체조 연맹(FIG), 유럽 체조 연합(UEG), 범미주 체조 연합(PAGU), 아시아 체조 연합(AGU), 아프리카 체조 연합(UAG) 등이 있다.</t>
  </si>
  <si>
    <t>{'word': '국제 체조 연맹', 'start_idx': 11, 'end_idx': 18, 'type': 'ORG'}</t>
  </si>
  <si>
    <t>{'word': '체조 주관 기관', 'start_idx': 0, 'end_idx': 7, 'type': 'ORG'}</t>
  </si>
  <si>
    <t>경기 전에 각 선수마다 기본적으로 6점씩 가지고 있다가 승부의 종류에 따라 일정한 벌점을 받게 되는데 벌점이 6점 이상 되면 다음 경기에 출전할 자격을 박탈당한다.</t>
  </si>
  <si>
    <t>{'word': '벌점', 'start_idx': 46, 'end_idx': 47, 'type': 'POH'}</t>
  </si>
  <si>
    <t>그러므로 현재 우리들이 실시하고 있는 각종 스포츠는 그 조직과 유형상 차이는 있지만 원시인들의 생활 형태가 발전된 것이라고 볼 수 있다.</t>
  </si>
  <si>
    <t>{'word': '각종 스포츠', 'start_idx': 21, 'end_idx': 26, 'type': 'POH'}</t>
  </si>
  <si>
    <t>{'word': '생활 형태', 'start_idx': 53, 'end_idx': 57, 'type': 'POH'}</t>
  </si>
  <si>
    <t>종목별 결승 경기는 각 종목의 상위 8명 참가.</t>
  </si>
  <si>
    <t>{'word': '종목', 'start_idx': 13, 'end_idx': 14, 'type': 'POH'}</t>
  </si>
  <si>
    <t>{'word': '종목별 결승 경기', 'start_idx': 0, 'end_idx': 8, 'type': 'POH'}</t>
  </si>
  <si>
    <t>펠로톤으로부터 탈출해 나가는(브레이크 어웨이 라고 부름)선수들의 그룹은 더 많은 공간과 자유를 누리게되는데, 이는 어떤 상황에서는 장점이 될 수 있다.</t>
  </si>
  <si>
    <t>{'word': '브레이크 어웨이', 'start_idx': 16, 'end_idx': 23, 'type': 'POH'}</t>
  </si>
  <si>
    <t>{'word': '펠로톤', 'start_idx': 0, 'end_idx': 2, 'type': 'POH'}</t>
  </si>
  <si>
    <t>셔틀콕은 그 최고 비행속도가 다른 라켓 스포츠의 공보다 훨씬 빠르지만, 공기 저항을 많이 받기 때문에 그 비행속도가 감소하는 것도 일반 공보다 더 급격하다.</t>
  </si>
  <si>
    <t>{'word': '셔틀콕', 'start_idx': 0, 'end_idx': 2, 'type': 'EQP'}</t>
  </si>
  <si>
    <t>{'word': '다른 라켓 스포츠', 'start_idx': 16, 'end_idx': 24, 'type': 'SPR'}</t>
  </si>
  <si>
    <t>1908년 런던 올림픽대회에서는 4명의 800 m 계영으로 변경되었다.</t>
  </si>
  <si>
    <t>{'word': '런던 올림픽대회', 'start_idx': 6, 'end_idx': 13, 'type': 'POH'}</t>
  </si>
  <si>
    <t>{'word': '1908년', 'start_idx': 0, 'end_idx': 4, 'type': 'DAT'}</t>
  </si>
  <si>
    <t>각 홀마다 번호가 매겨져 있으며, 전반의 9홀을 아웃코스, 후반의 9홀을 인코스라 한다.</t>
  </si>
  <si>
    <t>{'word': '인코스', 'start_idx': 41, 'end_idx': 43, 'type': 'POH'}</t>
  </si>
  <si>
    <t>{'word': '아웃코스', 'start_idx': 27, 'end_idx': 30, 'type': 'POH'}</t>
  </si>
  <si>
    <t>트리플보기(triple bogey)는 파보다 3타 많은 타수를 이른다.</t>
  </si>
  <si>
    <t>{'word': 'triple bogey', 'start_idx': 6, 'end_idx': 17, 'type': 'POH'}</t>
  </si>
  <si>
    <t>{'word': '트리플보기', 'start_idx': 0, 'end_idx': 4, 'type': 'POH'}</t>
  </si>
  <si>
    <t>앞서 언급한 경기를 제외한 국제대회에서는 천장 높이를 12미터(39피트)를 원칙으로하나, 최소 9미터(30피트) 이상이어야 한다.</t>
  </si>
  <si>
    <t>{'word': '천장 높이', 'start_idx': 23, 'end_idx': 27, 'type': 'POH'}</t>
  </si>
  <si>
    <t>{'word': '국제대회', 'start_idx': 15, 'end_idx': 18, 'type': 'POH'}</t>
  </si>
  <si>
    <t>평행봉 운동은 팔로 지지한 상태에서 진동을 이용한 동작과 또는 매달린 상태에서의 진동을 이용한 동작을 통해서 행하여진다.</t>
  </si>
  <si>
    <t>{'word': '평행봉 운동', 'start_idx': 0, 'end_idx': 5, 'type': 'SPR'}</t>
  </si>
  <si>
    <t>{'word': '진동을 이용한 동작', 'start_idx': 20, 'end_idx': 29, 'type': 'POH'}</t>
  </si>
  <si>
    <t>얀은 나폴레옹전쟁에서 패배한 조국청년들의 정신과 신체를 단련하기 위해서 안마, 목마, 철봉, 평균대, 평행봉과 같은 기계를 선택하여 그 기계에 맞는 여러 가지의 운동형태를 고안하였다.</t>
  </si>
  <si>
    <t>{'word': '안마', 'start_idx': 40, 'end_idx': 41, 'type': 'EQP'}</t>
  </si>
  <si>
    <t>{'word': '얀', 'start_idx': 0, 'end_idx': 0, 'type': 'PER'}</t>
  </si>
  <si>
    <t>따라서 높은 봉에서 낮은 봉으로, 또는 낮은 봉에서 높은 봉으로 옮기는 방법이 이단평행봉의 독특한 운동특성이라고 하겠다.</t>
  </si>
  <si>
    <t>{'word': '이단평행봉', 'start_idx': 44, 'end_idx': 48, 'type': 'SPR'}</t>
  </si>
  <si>
    <t>{'word': '봉', 'start_idx': 7, 'end_idx': 7, 'type': 'EQP'}</t>
  </si>
  <si>
    <t>매치 플레이는 각 홀마다 승패를 결정하며, 양 선수가 같은 타수로 홀 아웃하면 그 홀은 동점이 된다.</t>
  </si>
  <si>
    <t>{'word': '홀 아웃', 'start_idx': 37, 'end_idx': 40, 'type': 'POH'}</t>
  </si>
  <si>
    <t>{'word': '매치 플레이', 'start_idx': 0, 'end_idx': 5, 'type': 'POH'}</t>
  </si>
  <si>
    <t>#에이지 슈팅(age shooting)은 자신의 나이와 같거나 그보다 더 적은 타수로 한 바퀴를 도는 일을 말한다. 그 특성상 60세 이상만 가능하다.</t>
  </si>
  <si>
    <t>{'word': '에이지 슈팅', 'start_idx': 1, 'end_idx': 6, 'type': 'POH'}</t>
  </si>
  <si>
    <t>{'word': '60세 이상', 'start_idx': 71, 'end_idx': 76, 'type': 'POH'}</t>
  </si>
  <si>
    <t>그로스(gross)는 라운드의 총 스트로크 수를 이른다.</t>
  </si>
  <si>
    <t>{'word': '스트로크', 'start_idx': 19, 'end_idx': 22, 'type': 'POH'}</t>
  </si>
  <si>
    <t>{'word': '그로스', 'start_idx': 0, 'end_idx': 2, 'type': 'POH'}</t>
  </si>
  <si>
    <t>때문에 올림픽과 아시아 경기대회 등 세계대회에서 마라톤 종목에 출전한 선수는 단 1명도 없었으며 자국의 도시인 테헤란에서 열린 1974년 아시안 게임에서는 마라톤이 아예 제외되었고한다.</t>
  </si>
  <si>
    <t>{'word': '테헤란', 'start_idx': 62, 'end_idx': 64, 'type': 'LOC'}</t>
  </si>
  <si>
    <t>{'word': '1974년', 'start_idx': 71, 'end_idx': 75, 'type': 'DAT'}</t>
  </si>
  <si>
    <t>여자 종목도 평균대, 이단평행봉, 도마, 마루운동, 리듬체조경기 등이 있으며, 남자의 경우와 마찬가지로 종합경기 종목으로 나누어 치러졌다.</t>
  </si>
  <si>
    <t>{'word': '리듬체조경기', 'start_idx': 29, 'end_idx': 34, 'type': 'SPR'}</t>
  </si>
  <si>
    <t>{'word': '여자 종목', 'start_idx': 0, 'end_idx': 4, 'type': 'SPR'}</t>
  </si>
  <si>
    <t>이와 달리 반(half)스매싱은 손목의 스냅만을 이용하여 가볍지만 빠르고 날카롭게 원하는 코스로 파고들게 하는 스매시 기술이다.</t>
  </si>
  <si>
    <t>{'word': '반(half)스매싱', 'start_idx': 6, 'end_idx': 15, 'type': 'POH'}</t>
  </si>
  <si>
    <t>{'word': '스매시 기술', 'start_idx': 62, 'end_idx': 67, 'type': 'POH'}</t>
  </si>
  <si>
    <t>집단출발은 30명의 선수가 동시에 출발하며, 결승점에 먼저 도착하는 선수가 우승한다.</t>
  </si>
  <si>
    <t>{'word': '집단출발', 'start_idx': 0, 'end_idx': 3, 'type': 'POH'}</t>
  </si>
  <si>
    <t>{'word': '결승점', 'start_idx': 25, 'end_idx': 27, 'type': 'POH'}</t>
  </si>
  <si>
    <t>온(on)은 그린에 공이 얹혀 멈추는 것을 말한다.</t>
  </si>
  <si>
    <t>{'word': '그린', 'start_idx': 7, 'end_idx': 8, 'type': 'POH'}</t>
  </si>
  <si>
    <t>{'word': '공', 'start_idx': 11, 'end_idx': 11, 'type': 'EQP'}</t>
  </si>
  <si>
    <t>350m 전후인 중거리(미들)의 홀을 중심(10홀)으로 쇼트 홀(4), 롱 홀(4) 등 합계 18개 홀인데 쇼트는 229m 이하, 미들은 230-430m, 롱은 431m 이상이며, 쇼트의 표준 타수 3, 미들 4, 롱을 5로 하여 이것을 파(par)로 한다.</t>
  </si>
  <si>
    <t>{'word': '미들', 'start_idx': 13, 'end_idx': 14, 'type': 'POH'}</t>
  </si>
  <si>
    <t>{'word': '중거리', 'start_idx': 9, 'end_idx': 11, 'type': 'POH'}</t>
  </si>
  <si>
    <t>만약 탈출이 성공하지 못하고 다시 펠로톤에 합류되게 되면, 대개 스프린터가 마지막 직선주로에서 경쟁자들을 힘으로 제압함으로써 승리하게 된다.</t>
  </si>
  <si>
    <t>{'word': '스프린터', 'start_idx': 36, 'end_idx': 39, 'type': 'POH'}</t>
  </si>
  <si>
    <t>{'word': '펠로톤', 'start_idx': 19, 'end_idx': 21, 'type': 'POH'}</t>
  </si>
  <si>
    <t>부츠 앞쪽부터 뒷쪽까지 스키에 고정하는 알파인 스키와 대조된다.</t>
  </si>
  <si>
    <t>{'word': '알파인 스키', 'start_idx': 22, 'end_idx': 27, 'type': 'POH'}</t>
  </si>
  <si>
    <t>{'word': '스키', 'start_idx': 13, 'end_idx': 14, 'type': 'EQP'}</t>
  </si>
  <si>
    <t>배드민턴 라켓은 약 50~90그램의 가볍고 강한 재질의 프레임에 스트링을 맨 것이다.</t>
  </si>
  <si>
    <t>{'word': '배드민턴 라켓', 'start_idx': 0, 'end_idx': 6, 'type': 'EQP'}</t>
  </si>
  <si>
    <t>{'word': '가볍고 강한 재질의 프레임', 'start_idx': 20, 'end_idx': 33, 'type': 'POH'}</t>
  </si>
  <si>
    <t>다만 세계 남자 골프계에서는 아시아 선수의 활약이 아직까지 저조하여 남자 골프 4대 메이저 대회에서 우승한 아시아인 선수는 2014년까지 양용은이 유일하다.</t>
  </si>
  <si>
    <t>{'word': '남자 골프', 'start_idx': 38, 'end_idx': 42, 'type': 'SPR'}</t>
  </si>
  <si>
    <t>{'word': '양용은', 'start_idx': 77, 'end_idx': 79, 'type': 'PER'}</t>
  </si>
  <si>
    <t>#부츠 앞쪽부터 뒷쪽까지 스키에 고정하는 알파인 스키와 대조된다. 경기 종목으로 크로스컨트리 스키와 텔레마크 스키가 포함된다.</t>
  </si>
  <si>
    <t>{'word': '알파인 스키', 'start_idx': 23, 'end_idx': 28, 'type': 'SPR'}</t>
  </si>
  <si>
    <t>{'word': '부츠', 'start_idx': 1, 'end_idx': 2, 'type': 'EQP'}</t>
  </si>
  <si>
    <t>기계체조(器械體操)는 기계와 체조의 합성어로 기계를 사용하는 모든 운동을 칭한다.</t>
  </si>
  <si>
    <t>{'word': '器械體操', 'start_idx': 5, 'end_idx': 8, 'type': 'SPR'}</t>
  </si>
  <si>
    <t>몸운동의 종류로는 굽히기, 돌리기, 휘돌리기, 누이기, 젖히기, 펴기 등이 있다.</t>
  </si>
  <si>
    <t>{'word': '몸운동', 'start_idx': 0, 'end_idx': 2, 'type': 'SPR'}</t>
  </si>
  <si>
    <t>{'word': '젖히기', 'start_idx': 31, 'end_idx': 33, 'type': 'POH'}</t>
  </si>
  <si>
    <t>그 이유는 서버가 서브 이후에 네트 앞에 위치하게 되고, 리시버가 서브를 반구 할 때 보낼수 있는 코스가 상대적으로 제한되어 있기 때문이다.</t>
  </si>
  <si>
    <t>{'word': '네트', 'start_idx': 17, 'end_idx': 18, 'type': 'EQP'}</t>
  </si>
  <si>
    <t>{'word': '서버', 'start_idx': 6, 'end_idx': 7, 'type': 'POH'}</t>
  </si>
  <si>
    <t>팔 동작이나 다리 동작과는 상관없이 누워서 하는 영법은 대부분 배영이라고 부른다.</t>
  </si>
  <si>
    <t>{'word': '배영', 'start_idx': 35, 'end_idx': 36, 'type': 'SPR'}</t>
  </si>
  <si>
    <t>{'word': '누워서 하는 영법', 'start_idx': 20, 'end_idx': 28, 'type': 'POH'}</t>
  </si>
  <si>
    <t>또한, 1996년 애틀란타 올림픽과 2000년 시드니 올림픽에서 심권호 선수가 2회 연속으로 금메달을 획득하는 등 대한민국은 아마추어 레슬링은 다른 국가 못지않은 실력임을 입증하였으나, 프로레슬링에서 역도산을 비롯하여 김일·천규덕 선수 등이 활약한 뒤로 비인기 종목으로 전락하게 되었다.</t>
  </si>
  <si>
    <t>{'word': '아마추어 레슬링', 'start_idx': 70, 'end_idx': 77, 'type': 'SPR'}</t>
  </si>
  <si>
    <t>{'word': '심권호', 'start_idx': 36, 'end_idx': 38, 'type': 'PER'}</t>
  </si>
  <si>
    <t>단식에서 서버는 자신의 점수가 짝수일 때는 오른쪽 서비스 코트에서, 홀수일 때는 왼쪽 서비스 코트에서 서브를 넣는다.</t>
  </si>
  <si>
    <t>{'word': '서버', 'start_idx': 5, 'end_idx': 6, 'type': 'POH'}</t>
  </si>
  <si>
    <t>{'word': '단식', 'start_idx': 0, 'end_idx': 1, 'type': 'POH'}</t>
  </si>
  <si>
    <t>그 결과, 드라이브로 반구하기 힘들기에 공격권을 계속 자신의 팀으로 가져올 수 있다는 장점을 가진다.</t>
  </si>
  <si>
    <t>{'word': '반구', 'start_idx': 12, 'end_idx': 13, 'type': 'POH'}</t>
  </si>
  <si>
    <t>{'word': '드라이브', 'start_idx': 6, 'end_idx': 9, 'type': 'POH'}</t>
  </si>
  <si>
    <t>당시 이 스포츠는 '배드민턴 게임'(The Game of Badminton)이라 불렸으며, 현재와 같은 '배드민턴'이라는 명칭이 이때 공식적으로 정해졌다.</t>
  </si>
  <si>
    <t>{'word': '배드민턴 게임', 'start_idx': 11, 'end_idx': 17, 'type': 'SPR'}</t>
  </si>
  <si>
    <t>{'word': '배드민턴', 'start_idx': 59, 'end_idx': 62, 'type': 'SPR'}</t>
  </si>
  <si>
    <t>파3은 파를 하려면 홀컵에 3번만에 들어가야 하는홀을 말한다.</t>
  </si>
  <si>
    <t>{'word': '홀', 'start_idx': 27, 'end_idx': 27, 'type': 'POH'}</t>
  </si>
  <si>
    <t>경기 전략에 무전기가 미치는 영향은 사이클링 전체의 토론 주제가 되었으며 일부는 1990년대의 무전기의 도입이 선수 개인의 전략적 지식을 낮추고 경주 자체를 덜 재미나게 만들었다고 주장하고 있다.</t>
  </si>
  <si>
    <t>{'word': '사이클링', 'start_idx': 20, 'end_idx': 23, 'type': 'SPR'}</t>
  </si>
  <si>
    <t>{'word': '1990년대', 'start_idx': 45, 'end_idx': 50, 'type': 'DAT'}</t>
  </si>
  <si>
    <t>독일에서 개발된 특수 형태의 구름판인 로이터판(뜀틀)을 도마 앞에 놓고 선수는 달려오다가 도마가 가까워지면 있는 힘을 다해 로이터판을 밟은 다음 도마를 두 손으로 짚고 뛰어넘는다.</t>
  </si>
  <si>
    <t>{'word': '로이터판', 'start_idx': 21, 'end_idx': 24, 'type': 'EQP'}</t>
  </si>
  <si>
    <t>{'word': '독일', 'start_idx': 0, 'end_idx': 1, 'type': 'LOC'}</t>
  </si>
  <si>
    <t>공의 기본 동작으로는 던져서 받기, 튀기기, 굴리기, 돌리기, 흔들기, 휘돌리기, 바꿔 잡기 등이 있다.</t>
  </si>
  <si>
    <t>{'word': '공', 'start_idx': 0, 'end_idx': 0, 'type': 'SPR'}</t>
  </si>
  <si>
    <t>{'word': '던져서 받기', 'start_idx': 12, 'end_idx': 17, 'type': 'SPR'}</t>
  </si>
  <si>
    <t>직업적인 경기에서는 팀의 협력은 대개 팀원들과 팀 감독사이의 무전기를 통해 이루어지는데 팀 감독은 팀 자동차를 이용해 경주의 두를 따라 이동하며 전체 상황을 감시한다.</t>
  </si>
  <si>
    <t>{'word': '협력', 'start_idx': 14, 'end_idx': 15, 'type': 'POH'}</t>
  </si>
  <si>
    <t>{'word': '팀', 'start_idx': 11, 'end_idx': 11, 'type': 'POH'}</t>
  </si>
  <si>
    <t>네트는 양쪽 끝 높이가 1.55미터(5피트)이며 중앙의 높이는 1.524미터(5피트)이다.</t>
  </si>
  <si>
    <t>{'word': '네트', 'start_idx': 0, 'end_idx': 1, 'type': 'EQP'}</t>
  </si>
  <si>
    <t>{'word': '높이', 'start_idx': 9, 'end_idx': 10, 'type': 'POH'}</t>
  </si>
  <si>
    <t>짝체조, 꾸미기체조, 일련체조 등이 맨손체조에 해당되지만, 일정한 규칙이나 형식이 없으므로 얼마든지 변화, 응용할 수 있는 운동이다.</t>
  </si>
  <si>
    <t>{'word': '맨손체조', 'start_idx': 20, 'end_idx': 23, 'type': 'SPR'}</t>
  </si>
  <si>
    <t>{'word': '꾸미기체조', 'start_idx': 5, 'end_idx': 9, 'type': 'SPR'}</t>
  </si>
  <si>
    <t>1893년 잉글랜드 배드민턴 협회(the Badminton Association of England)는 이 규칙에 근거하여 최초의 규정집을 만들었으며, 이는 오늘날의 규정과 유사한 것이었다.</t>
  </si>
  <si>
    <t>{'word': 'the Badminton Association of England', 'start_idx': 19, 'end_idx': 54, 'type': 'LOC'}</t>
  </si>
  <si>
    <t>{'word': '잉글랜드 배드민턴 협회', 'start_idx': 6, 'end_idx': 17, 'type': 'LOC'}</t>
  </si>
  <si>
    <t>기술로는 구르기 분야로서 앞구르기, 뒤구르기, 옆구르기 등이 있고, 돌기 분야로서 손짚고 앞돌기, 손짚고 옆돌기, 손짚고 뒤돌기 등이 있고, 공중돌기 분야로서 앞공중돌기, 뒤공중돌기, 옆공중돌기, 몸펴뒤공중돌기와 이 밖에 특기기술 등이 있다.</t>
  </si>
  <si>
    <t>{'word': '뒤공중돌기', 'start_idx': 96, 'end_idx': 100, 'type': 'SPR'}</t>
  </si>
  <si>
    <t>{'word': '앞구르기', 'start_idx': 14, 'end_idx': 17, 'type': 'SPR'}</t>
  </si>
  <si>
    <t>단체 종합 예선은 1팀에서 최대 6명 중 각 종목 1명씩 5명이 경기를 펼쳐, 상위 4명 득점의 합계를 가지고 순위를 매긴다.</t>
  </si>
  <si>
    <t>{'word': '단체 종합 예선', 'start_idx': 0, 'end_idx': 7, 'type': 'POH'}</t>
  </si>
  <si>
    <t>그러므로 2008년 하계 올림픽 이후 채점규칙이 어떤 방식으로 변경되어야 할지는 논란의 여지가 있다.</t>
  </si>
  <si>
    <t>{'word': '하계 올림픽', 'start_idx': 11, 'end_idx': 16, 'type': 'POH'}</t>
  </si>
  <si>
    <t>{'word': '2008년', 'start_idx': 5, 'end_idx': 9, 'type': 'DAT'}</t>
  </si>
  <si>
    <t>태클(tackle)은 상대의 품속으로 파고들어 넘어뜨리고 제압하거나, 일단 들어올렸다가 메어치는 기술.</t>
  </si>
  <si>
    <t>{'word': '파고들어', 'start_idx': 21, 'end_idx': 24, 'type': 'POH'}</t>
  </si>
  <si>
    <t>{'word': '태클', 'start_idx': 0, 'end_idx': 1, 'type': 'POH'}</t>
  </si>
  <si>
    <t>프로 경기에서는 규정 타수를 70~71타로 줄여서 난이도를 높이기도 한다.</t>
  </si>
  <si>
    <t>{'word': '규정 타수', 'start_idx': 9, 'end_idx': 13, 'type': 'POH'}</t>
  </si>
  <si>
    <t>{'word': '난이도', 'start_idx': 28, 'end_idx': 30, 'type': 'POH'}</t>
  </si>
  <si>
    <t>반대로 손에 잘 달라 붙는 약간의 점성을 가진 재질의 그립도 있다.</t>
  </si>
  <si>
    <t>{'word': '그립', 'start_idx': 30, 'end_idx': 31, 'type': 'EQP'}</t>
  </si>
  <si>
    <t>{'word': '점성을 가진 재질', 'start_idx': 19, 'end_idx': 27, 'type': 'POH'}</t>
  </si>
  <si>
    <t>올림픽경기대회, 세계혼합단체전,세계개인선수권대회, 세계단체선수권대회, 세계주니어선수권대회 등 세계 배드민턴 연맹(BWF) 경기를 위한 최소 천장 높이는 12미터(39피트) 이상이다.</t>
  </si>
  <si>
    <t>{'word': '올림픽경기대회', 'start_idx': 0, 'end_idx': 6, 'type': 'ORG'}</t>
  </si>
  <si>
    <t>{'word': '세계 배드민턴 연맹(BWF)', 'start_idx': 52, 'end_idx': 66, 'type': 'ORG'}</t>
  </si>
  <si>
    <t>경기에서는 두 다리를 벌리고 뛰어넘거나, 또는 다리를 모으고 웅크린 자세로 뛰어넘거나, 다리를 쭉 펴고 엉덩이를 구부린 자세로 뛰어넘을 수 있으며 앞으로 재주넘기와 옆으로 재주넘기를 비롯해 좀 더 어려운 동작으로 여러 가지 묘기를 연출할 수 있다.</t>
  </si>
  <si>
    <t>{'word': '앞으로 재주넘기', 'start_idx': 82, 'end_idx': 89, 'type': 'POH'}</t>
  </si>
  <si>
    <t>넬슨(nelson)은 상대방의 뒤에서 겨드랑이 사이로 팔을 넣어 뒤통수로 뻗어 목을 누르는 기술.</t>
  </si>
  <si>
    <t>{'word': '넬슨', 'start_idx': 0, 'end_idx': 1, 'type': 'POH'}</t>
  </si>
  <si>
    <t>{'word': 'nelson', 'start_idx': 3, 'end_idx': 8, 'type': 'POH'}</t>
  </si>
  <si>
    <t>오늘날과 같이 골프가 조직화된 것은 15세기 무렵으로, 1860년 영국에서 선수권대회가 열렸으며, 1945년 제2차 세계대전이 끝난 후부터 전 세계로 급속히 퍼져나왔다.</t>
  </si>
  <si>
    <t>{'word': '골프', 'start_idx': 8, 'end_idx': 9, 'type': 'SPR'}</t>
  </si>
  <si>
    <t>{'word': '15세기 무렵', 'start_idx': 20, 'end_idx': 26, 'type': 'DAT'}</t>
  </si>
  <si>
    <t>그러나 선수들의 연기수준이 평준화되면서 채점규칙에 변별력이 부족하다는 평가를 하게 됨에 따라 2006년부터 10점 만점제도가 폐지되고 기록경기제도로 변경되었다.</t>
  </si>
  <si>
    <t>{'word': '기록경기제도', 'start_idx': 75, 'end_idx': 80, 'type': 'POH'}</t>
  </si>
  <si>
    <t>{'word': '2006년', 'start_idx': 52, 'end_idx': 56, 'type': 'DAT'}</t>
  </si>
  <si>
    <t>이 전투에서 아테네의 승전 소식을 아테네에 뛰어가 전한 전령 페이디피데스를 기리는 뜻에서 1896년에 올림픽에 채택된 육상 경기 종목으로 알려져 있다.</t>
  </si>
  <si>
    <t>{'word': '육상 경기 종목', 'start_idx': 66, 'end_idx': 73, 'type': 'SPR'}</t>
  </si>
  <si>
    <t>{'word': '1896년', 'start_idx': 50, 'end_idx': 54, 'type': 'DAT'}</t>
  </si>
  <si>
    <t>일반적인 헤어핀의 경우에는 라켓의 면을 셔틀에 그대로 가져다 대서 셔틀이 네트를 살짝 넘기도록 구사한다.</t>
  </si>
  <si>
    <t>{'word': '라켓', 'start_idx': 15, 'end_idx': 16, 'type': 'EQP'}</t>
  </si>
  <si>
    <t>{'word': '셔틀', 'start_idx': 22, 'end_idx': 23, 'type': 'EQP'}</t>
  </si>
  <si>
    <t>정확한 전체 규정은 BWF에서 발간한 규정집에서 확인할 수 있다.</t>
  </si>
  <si>
    <t>{'word': 'BWF', 'start_idx': 11, 'end_idx': 13, 'type': 'ORG'}</t>
  </si>
  <si>
    <t>{'word': '규정집', 'start_idx': 21, 'end_idx': 23, 'type': 'POH'}</t>
  </si>
  <si>
    <t>2012년에는 우간다 선수가 케냐 선수를 제치고 금메달을 따기도 하였다.</t>
  </si>
  <si>
    <t>{'word': '2012년', 'start_idx': 0, 'end_idx': 4, 'type': 'DAT'}</t>
  </si>
  <si>
    <t>{'word': '케냐', 'start_idx': 16, 'end_idx': 17, 'type': 'LOC'}</t>
  </si>
  <si>
    <t>프로권투는 대전료(Fight Money)수입을 목적으로 하는 상업적인 스포츠이며, 한국권투위원회에서 주관하는 프로테스트 에 합격해야 프로권투 선수로 활동할 수 있다.</t>
  </si>
  <si>
    <t>{'word': '상업적인 스포츠', 'start_idx': 34, 'end_idx': 41, 'type': 'SPR'}</t>
  </si>
  <si>
    <t>{'word': '프로권투', 'start_idx': 0, 'end_idx': 3, 'type': 'SPR'}</t>
  </si>
  <si>
    <t>1936년에는 인도가 추가 회원국으로 가입했다.</t>
  </si>
  <si>
    <t>{'word': '인도', 'start_idx': 8, 'end_idx': 9, 'type': 'LOC'}</t>
  </si>
  <si>
    <t>{'word': '추가 회원국', 'start_idx': 12, 'end_idx': 17, 'type': 'LOC'}</t>
  </si>
  <si>
    <t>머리카락·피부·귀 등을 붙잡거나 손가락·발가락을 비트는 행위.</t>
  </si>
  <si>
    <t>{'word': '손가락', 'start_idx': 18, 'end_idx': 20, 'type': 'POH'}</t>
  </si>
  <si>
    <t>{'word': '머리카락', 'start_idx': 0, 'end_idx': 3, 'type': 'POH'}</t>
  </si>
  <si>
    <t>다수의 선수들이 밀착하여 달리면서 형성하는 그룹인 펠로톤 속에서 자전거를 타면, 단독 주행때와 비교하여 높게는 40%정도의 앞으로 진행하기 위한 에너지를 절약할 수 있다.</t>
  </si>
  <si>
    <t>{'word': '자전거', 'start_idx': 36, 'end_idx': 38, 'type': 'EQP'}</t>
  </si>
  <si>
    <t>{'word': '펠로톤', 'start_idx': 28, 'end_idx': 30, 'type': 'POH'}</t>
  </si>
  <si>
    <t>복식에서 서버와 리시버를 제외한 나머지 두 선수는 상대편 서버나 리시버를 방해하지 않는 한도 내에서 코트의 어느 위치에든지 서있을 수 있다.</t>
  </si>
  <si>
    <t>{'word': '코트', 'start_idx': 56, 'end_idx': 57, 'type': 'EQP'}</t>
  </si>
  <si>
    <t>도마는 고대 로마 제국의 군인들이 말타기 훈련에 목마를 사용한 데서 비롯된 운동이다.</t>
  </si>
  <si>
    <t>{'word': '도마', 'start_idx': 0, 'end_idx': 1, 'type': 'SPR'}</t>
  </si>
  <si>
    <t>{'word': '고대 로마 제국', 'start_idx': 4, 'end_idx': 11, 'type': 'LOC'}</t>
  </si>
  <si>
    <t>보통 공이 뜨면 스매시로 공격권을 계속 유지하려고 함.</t>
  </si>
  <si>
    <t>{'word': '공격권', 'start_idx': 14, 'end_idx': 16, 'type': 'POH'}</t>
  </si>
  <si>
    <t>여러 쌍들이 서로 협조하여 실시하므로 협동심과 인내심을 기를 수 있다.</t>
  </si>
  <si>
    <t>{'word': '협동심', 'start_idx': 21, 'end_idx': 23, 'type': 'POH'}</t>
  </si>
  <si>
    <t>{'word': '인내심', 'start_idx': 26, 'end_idx': 28, 'type': 'POH'}</t>
  </si>
  <si>
    <t>홀의 거리는 티(tee)의 중심에서 그린(green) 중심까지 수평으로 계측하고 구부러진 홀에서는 설계자가 의도한 페어웨이의 중심을 통하여 계측한다.</t>
  </si>
  <si>
    <t>{'word': '티', 'start_idx': 7, 'end_idx': 7, 'type': 'POH'}</t>
  </si>
  <si>
    <t>{'word': '그린', 'start_idx': 20, 'end_idx': 21, 'type': 'POH'}</t>
  </si>
  <si>
    <t>즉 고의로 매트에서 도망치거나 계속 배를 대고 엎드려 피하는 행위.</t>
  </si>
  <si>
    <t>{'word': '행위', 'start_idx': 34, 'end_idx': 35, 'type': 'POH'}</t>
  </si>
  <si>
    <t>{'word': '매트', 'start_idx': 6, 'end_idx': 7, 'type': 'EQP'}</t>
  </si>
  <si>
    <t>기본 배영(Basic backstroke, Elementary backstroke) 또는 기초 배영은 배영의 하나로 양팔을 몸통을 따라 올리다가 옆으로 뻗어서 허벅지까지 내린다.</t>
  </si>
  <si>
    <t>{'word': '기본 배영', 'start_idx': 0, 'end_idx': 4, 'type': 'POH'}</t>
  </si>
  <si>
    <t>{'word': '기초 배영', 'start_idx': 50, 'end_idx': 54, 'type': 'POH'}</t>
  </si>
  <si>
    <t>각 대회에서 우승하거나 일정 순위에 입상하면 다음 급수로 승급하게 된다.</t>
  </si>
  <si>
    <t>{'word': '입상', 'start_idx': 20, 'end_idx': 21, 'type': 'POH'}</t>
  </si>
  <si>
    <t>{'word': '일정 순위', 'start_idx': 13, 'end_idx': 17, 'type': 'POH'}</t>
  </si>
  <si>
    <t>벙커란 지면에서 푹 꺼진 부분에 모래로 채워진 지역으로 공이 그 속에 들어가면 탄력을 잃고 정지해 버린다.</t>
  </si>
  <si>
    <t>{'word': '공', 'start_idx': 31, 'end_idx': 31, 'type': 'EQP'}</t>
  </si>
  <si>
    <t>{'word': '모래', 'start_idx': 18, 'end_idx': 19, 'type': 'POH'}</t>
  </si>
  <si>
    <t>아마추어 권투 연맹으로 국제아마추어복싱연맹(AIBA)와 대한아마추어복싱연맹(BAK)이 있다.</t>
  </si>
  <si>
    <t>{'word': '아마추어 권투 연맹', 'start_idx': 0, 'end_idx': 9, 'type': 'ORG'}</t>
  </si>
  <si>
    <t>{'word': '국제아마추어복싱연맹', 'start_idx': 13, 'end_idx': 22, 'type': 'ORG'}</t>
  </si>
  <si>
    <t>경기 때에 구성상 유의하여야 할 사항은 우선 줄의 흔들림이 없어야 하며 진동기술, 힘으로 하는 기술, 정지기술 등이 포함되어야 하며, 2회의 물구나무서기가 들어가야 되는데, 그 가운데 하나는 힘으로 실시하여야 하며, 또 다른 하나는 진동을 이용하여 실시하여야 한다.</t>
  </si>
  <si>
    <t>{'word': '줄', 'start_idx': 25, 'end_idx': 25, 'type': 'EQP'}</t>
  </si>
  <si>
    <t>{'word': '물구나무서기', 'start_idx': 79, 'end_idx': 84, 'type': 'SPR'}</t>
  </si>
  <si>
    <t>1906년 아테네 올림픽대회에서는 1,000 미터 계영이 개설되었다.</t>
  </si>
  <si>
    <t>{'word': '1,000 미터 계영', 'start_idx': 19, 'end_idx': 29, 'type': 'SPR'}</t>
  </si>
  <si>
    <t>{'word': '1906년 아테네 올림픽대회', 'start_idx': 0, 'end_idx': 14, 'type': 'DAT'}</t>
  </si>
  <si>
    <t>남자 마루운동은 덤블링이 중심이고, 그 밖에 여러 동작이 합해져서 연기가 구성된다.</t>
  </si>
  <si>
    <t>{'word': '남자 마루운동', 'start_idx': 0, 'end_idx': 6, 'type': 'SPR'}</t>
  </si>
  <si>
    <t>{'word': '덤블링', 'start_idx': 9, 'end_idx': 11, 'type': 'POH'}</t>
  </si>
  <si>
    <t>골프 코스는 보통 18번 홀이 기준이며 전체 길이 5,500-6,300m, 너비 100-180m, 전체 지역은 약 70만m2 정도이다.</t>
  </si>
  <si>
    <t>{'word': '18번 홀', 'start_idx': 10, 'end_idx': 14, 'type': 'POH'}</t>
  </si>
  <si>
    <t>이때는 단식과 다르게 파트너가 뒤에서 타구할 준비를 하기 때문에 단식보다는 셔틀에 반응 할 가능성이 더 높다.</t>
  </si>
  <si>
    <t>{'word': '단식', 'start_idx': 36, 'end_idx': 37, 'type': 'SPR'}</t>
  </si>
  <si>
    <t>{'word': '셔틀', 'start_idx': 42, 'end_idx': 43, 'type': 'EQP'}</t>
  </si>
  <si>
    <t>또한 올림픽이 개최되는 연도를 제외하고 매년 국제 체조 연맹(FIG) 주관하는 세계 체조 선수권대회를 개최하고 있다.</t>
  </si>
  <si>
    <t>{'word': 'FIG', 'start_idx': 34, 'end_idx': 36, 'type': 'ORG'}</t>
  </si>
  <si>
    <t>{'word': '국제 체조 연맹', 'start_idx': 25, 'end_idx': 32, 'type': 'ORG'}</t>
  </si>
  <si>
    <t>과거 규정과 달리, 복식에서의 세컨서브(second serve)는 더 이상 존재하지 않는다.</t>
  </si>
  <si>
    <t>{'word': '세컨서브', 'start_idx': 17, 'end_idx': 20, 'type': 'POH'}</t>
  </si>
  <si>
    <t>{'word': '복식', 'start_idx': 11, 'end_idx': 12, 'type': 'POH'}</t>
  </si>
  <si>
    <t>개인 선수는 산악도로를 내려오는 동안 최고 시속 110km에 도달할 수도 있고 결승점 통과를 위한 마지막 스프린트에서는 시속 60-80km에 육박할 수도 있다.</t>
  </si>
  <si>
    <t>{'word': '산악도로', 'start_idx': 7, 'end_idx': 10, 'type': 'POH'}</t>
  </si>
  <si>
    <t>{'word': '최고 시속 110km', 'start_idx': 21, 'end_idx': 31, 'type': 'POH'}</t>
  </si>
  <si>
    <t>최근에는 탄소 섬유가 많이 쓰이고 있는데, 탄소 섬유는 중량 대비 강도가 매우 뛰어나며 딱딱하고, 운동 에너지를 잘 전달하는 특성을 지닌다.</t>
  </si>
  <si>
    <t>{'word': '운동 에너지', 'start_idx': 55, 'end_idx': 60, 'type': 'POH'}</t>
  </si>
  <si>
    <t>{'word': '탄소 섬유', 'start_idx': 5, 'end_idx': 9, 'type': 'POH'}</t>
  </si>
  <si>
    <t>그렇기 때문에 시간이 있을 때마다 신체를 단련하고 기술의 향상을 꾀하였는데, 이것이 바로 스포츠 발생의 기원이 되었다.</t>
  </si>
  <si>
    <t>{'word': '스포츠', 'start_idx': 50, 'end_idx': 52, 'type': 'SPR'}</t>
  </si>
  <si>
    <t>{'word': '기술의 향상', 'start_idx': 28, 'end_idx': 33, 'type': 'POH'}</t>
  </si>
  <si>
    <t>남자의 경우 구름판을 놓는 위치는 경기자의 자유이다.</t>
  </si>
  <si>
    <t>{'word': '구름판', 'start_idx': 7, 'end_idx': 9, 'type': 'EQP'}</t>
  </si>
  <si>
    <t>{'word': '경기자', 'start_idx': 19, 'end_idx': 21, 'type': 'POH'}</t>
  </si>
  <si>
    <t>1904년 하계 올림픽을 끝으로 폐지되었던 골프 종목이 2016년 하계 올림픽의 정식 종목으로 112년만에 재채택되었다.</t>
  </si>
  <si>
    <t>{'word': '골프 종목', 'start_idx': 24, 'end_idx': 28, 'type': 'SPR'}</t>
  </si>
  <si>
    <t>{'word': '2016년 하계 올림픽', 'start_idx': 31, 'end_idx': 42, 'type': 'POH'}</t>
  </si>
  <si>
    <t>부분 운동은 다리·팔·목·등·배·몸통 등과 같은 신체 관절및 근육의 어느 한 부분에 중점을 두고 하는 근골격계 운동이며, 전신 운동은 온몸을 움직여 이거나 특히 다리의 움직임을 통해 무게중심의 이동을 고려하는 보행동작을 포함하는 운동이다.</t>
  </si>
  <si>
    <t>{'word': '근골격계 운동', 'start_idx': 57, 'end_idx': 63, 'type': 'SPR'}</t>
  </si>
  <si>
    <t>{'word': '전신 운동', 'start_idx': 68, 'end_idx': 72, 'type': 'SPR'}</t>
  </si>
  <si>
    <t>그러나 완벽에 가까운 서브가 들어왔다면 리시버의 입장에서 보면 반구할 코스가 극히 줄어들기 때문에 리시브를 신중하게 해야 한다.</t>
  </si>
  <si>
    <t>{'word': '완벽에 가까운 서브', 'start_idx': 4, 'end_idx': 13, 'type': 'POH'}</t>
  </si>
  <si>
    <t>{'word': '리시버', 'start_idx': 22, 'end_idx': 24, 'type': 'POH'}</t>
  </si>
  <si>
    <t>복싱의 기술에는 원거리 전법의 아웃 복싱(Out boxing)과 근거리 전법의 인파이팅(infighting)이 있다.</t>
  </si>
  <si>
    <t>{'word': '복싱', 'start_idx': 0, 'end_idx': 1, 'type': 'SPR'}</t>
  </si>
  <si>
    <t>{'word': '아웃 복싱', 'start_idx': 17, 'end_idx': 21, 'type': 'POH'}</t>
  </si>
  <si>
    <t>배드민턴의 기원은 19세기 중엽 영국령인도로 거슬러 올라간다.</t>
  </si>
  <si>
    <t>{'word': '배드민턴', 'start_idx': 0, 'end_idx': 3, 'type': 'SPR'}</t>
  </si>
  <si>
    <t>{'word': '영국령인도', 'start_idx': 18, 'end_idx': 22, 'type': 'LOC'}</t>
  </si>
  <si>
    <t>클리어는 상대방을 엔드라인까지 밀어 우리편의 수비시간을 늘려주기 위한 스트로크이다.</t>
  </si>
  <si>
    <t>{'word': '엔드라인', 'start_idx': 10, 'end_idx': 13, 'type': 'POH'}</t>
  </si>
  <si>
    <t>{'word': '클리어', 'start_idx': 0, 'end_idx': 2, 'type': 'POH'}</t>
  </si>
  <si>
    <t>오버그립은 그보다 더 얇으며(1mm 이하) 손과 직접 접촉하게 되는 가장 바깥쪽 그립으로 사용된다.</t>
  </si>
  <si>
    <t>{'word': '가장 바깥쪽 그립', 'start_idx': 38, 'end_idx': 46, 'type': 'POH'}</t>
  </si>
  <si>
    <t>{'word': '오버그립', 'start_idx': 0, 'end_idx': 3, 'type': 'POH'}</t>
  </si>
  <si>
    <t>실제적으로도 세계1위를 하고 있는 이용대/유연성의 경기를 보면 네트위로 지나가는 드라이브 싸움에서 탁월하기에 상대방에게 쉽게 공격권을 내주지 않는 모습을 항상 볼 수 있다.</t>
  </si>
  <si>
    <t>{'word': '드라이브', 'start_idx': 45, 'end_idx': 48, 'type': 'POH'}</t>
  </si>
  <si>
    <t>{'word': '이용대/유연성', 'start_idx': 19, 'end_idx': 25, 'type': 'PER'}</t>
  </si>
  <si>
    <t>그라운드 레슬링(ground wrestling)은 양팔을 활짝 벌리고 엎드린 상대방의 옆에서 공격하는 것.</t>
  </si>
  <si>
    <t>{'word': 'ground wrestling', 'start_idx': 9, 'end_idx': 24, 'type': 'POH'}</t>
  </si>
  <si>
    <t>{'word': '그라운드 레슬링', 'start_idx': 0, 'end_idx': 7, 'type': 'POH'}</t>
  </si>
  <si>
    <t>레슬링의 기술은 군의 백병전 기술 등을 비롯한 다른 무술에도 적용되어 왔다.</t>
  </si>
  <si>
    <t>{'word': '백병전 기술', 'start_idx': 12, 'end_idx': 17, 'type': 'POH'}</t>
  </si>
  <si>
    <t>성공적인 선수는 다른 선수와 좁은 공간에서 고속으로 자전거를 탈수 있는 자전거를 다루는 기술을 잘 개발해야 한다.</t>
  </si>
  <si>
    <t>{'word': '자전거', 'start_idx': 29, 'end_idx': 31, 'type': 'EQP'}</t>
  </si>
  <si>
    <t>{'word': '자전거를 다루는 기술', 'start_idx': 40, 'end_idx': 50, 'type': 'POH'}</t>
  </si>
  <si>
    <t>도로 자전거 경기는 경주용 자전거를 이용하여 도로 위에서 겨루는 자전거 경기 스포츠의 하나이다.</t>
  </si>
  <si>
    <t>{'word': '도로 자전거 경기', 'start_idx': 0, 'end_idx': 8, 'type': 'SPR'}</t>
  </si>
  <si>
    <t>{'word': '경주용 자전거', 'start_idx': 11, 'end_idx': 17, 'type': 'EQP'}</t>
  </si>
  <si>
    <t>1719년에 JAMES FIGG가 챔피언에 올랐고 이때는 체급의 구분이 없었으며 1730년까지 계속 챔피언 타이틀을 유지하였다.</t>
  </si>
  <si>
    <t>{'word': 'JAMES FIGG', 'start_idx': 7, 'end_idx': 16, 'type': 'PER'}</t>
  </si>
  <si>
    <t>{'word': '1730년', 'start_idx': 45, 'end_idx': 49, 'type': 'DAT'}</t>
  </si>
  <si>
    <t>이런 방식에 대해 반대하는 입장에서는 어려운 기술만 난무하게 되어 기계체조에만 느껴지는 아름다움이 손상될지도 모른다고 주장한다.</t>
  </si>
  <si>
    <t>{'word': '아름다움', 'start_idx': 49, 'end_idx': 52, 'type': 'POH'}</t>
  </si>
  <si>
    <t>골프가 언제부터 시작되었는지는 확실하지 않으나 네덜란드의 아이스하키 비슷한 놀이가 스코틀랜드로 건너가 서민들 사이에서 널리 행해졌다는 설이 유력하다.</t>
  </si>
  <si>
    <t>{'word': '스코틀랜드', 'start_idx': 46, 'end_idx': 50, 'type': 'LOC'}</t>
  </si>
  <si>
    <t>드래프팅은 팀타임트라이얼 때를 제외하고는, 타임트라이얼에서는 사용할 수 없다.</t>
  </si>
  <si>
    <t>{'word': '타임트라이얼', 'start_idx': 24, 'end_idx': 29, 'type': 'SPR'}</t>
  </si>
  <si>
    <t>{'word': '드래프팅', 'start_idx': 0, 'end_idx': 3, 'type': 'POH'}</t>
  </si>
  <si>
    <t>스트링 텐션은 일반적으로 80~130뉴턴(18~36lbs) 정도이다.</t>
  </si>
  <si>
    <t>{'word': '스트링 텐션', 'start_idx': 0, 'end_idx': 5, 'type': 'POH'}</t>
  </si>
  <si>
    <t>{'word': '80~130뉴턴', 'start_idx': 14, 'end_idx': 21, 'type': 'POH'}</t>
  </si>
  <si>
    <t>또한 골프는 구기종목의 하나로, 국제적으로 많은 사람들이 여가와 스포츠로 즐기고 있다.</t>
  </si>
  <si>
    <t>{'word': '구기종목', 'start_idx': 7, 'end_idx': 10, 'type': 'SPR'}</t>
  </si>
  <si>
    <t>{'word': '골프', 'start_idx': 3, 'end_idx': 4, 'type': 'SPR'}</t>
  </si>
  <si>
    <t>기술의 분류는 철봉에 손을 잡는 방향에 따라 다르게 되는데, 잡기의 명칭으로는 바로잡기·엎어잡기·엇걸어잡기·한손엎어잡기·틀어잡기 등이 있으며, 기술로는 차오르기·흔들어오르기·앞뒤크게 휘돌기 등이 있다.</t>
  </si>
  <si>
    <t>{'word': '바로잡기', 'start_idx': 44, 'end_idx': 47, 'type': 'POH'}</t>
  </si>
  <si>
    <t>{'word': '차오르기', 'start_idx': 85, 'end_idx': 88, 'type': 'POH'}</t>
  </si>
  <si>
    <t>버디(birdie)는 기준 타수보다 하나 적은 타수로 공을 홀(hole)에 집어넣는 일을 가리킨다.</t>
  </si>
  <si>
    <t>{'word': '버디', 'start_idx': 0, 'end_idx': 1, 'type': 'POH'}</t>
  </si>
  <si>
    <t>{'word': '공', 'start_idx': 30, 'end_idx': 30, 'type': 'EQP'}</t>
  </si>
  <si>
    <t>폴(fall)은 두 어깨를 눌러 동시에 매트에 닿게 하는 기술로 플라잉 폴과 롤링 폴, 핀 폴 등 3가지가 있다.</t>
  </si>
  <si>
    <t>{'word': '폴', 'start_idx': 0, 'end_idx': 0, 'type': 'SPR'}</t>
  </si>
  <si>
    <t>{'word': '매트', 'start_idx': 22, 'end_idx': 23, 'type': 'EQP'}</t>
  </si>
  <si>
    <t>종목별 결승은 단체 종합 예선 종목 각각의 상위 성적자가 다시 경기를 펼쳐 순위를 매긴다.</t>
  </si>
  <si>
    <t>{'word': '종목별 결승', 'start_idx': 0, 'end_idx': 5, 'type': 'SPR'}</t>
  </si>
  <si>
    <t>{'word': '단체 종합 예선 종목', 'start_idx': 8, 'end_idx': 18, 'type': 'SPR'}</t>
  </si>
  <si>
    <t>푸시라는 기술을 사용하기 위해서는 전제조건이 필요한데, 상대방이 반구한 공이 네트와 멀지 않고, 자신이 스트로크 하였을때 바닥으로 셔틀을 반구할 수 있을 정도의 각이 만들어져야 기술을 안정적으로 구사할 수 있다.</t>
  </si>
  <si>
    <t>{'word': '셔틀', 'start_idx': 73, 'end_idx': 74, 'type': 'EQP'}</t>
  </si>
  <si>
    <t>{'word': '반구할 수 있을 정도의 각', 'start_idx': 77, 'end_idx': 90, 'type': 'POH'}</t>
  </si>
  <si>
    <t>9세기 초부터 뜀틀과 안마 운동의 연습용 기구인 평행봉의 활용법을 1811년 독일의 얀이 개발함으로써 평행봉은 하나의 운동 종목이 되었다.</t>
  </si>
  <si>
    <t>{'word': '평행봉', 'start_idx': 57, 'end_idx': 59, 'type': 'SPR'}</t>
  </si>
  <si>
    <t>{'word': '평행봉', 'start_idx': 27, 'end_idx': 29, 'type': 'EQP'}</t>
  </si>
  <si>
    <t>선수의 연기는 정해진 난이도에 따라 평가된다.</t>
  </si>
  <si>
    <t>{'word': '연기', 'start_idx': 4, 'end_idx': 5, 'type': 'POH'}</t>
  </si>
  <si>
    <t>{'word': '난이도', 'start_idx': 12, 'end_idx': 14, 'type': 'POH'}</t>
  </si>
  <si>
    <t>프랑스, 스페인, 벨기에, 이탈리아등의 서부유럽국가에서 인기가 많았다.</t>
  </si>
  <si>
    <t>{'word': '서부유럽국가', 'start_idx': 22, 'end_idx': 27, 'type': 'POH'}</t>
  </si>
  <si>
    <t>{'word': '프랑스', 'start_idx': 0, 'end_idx': 2, 'type': 'LOC'}</t>
  </si>
  <si>
    <t>#노르딕 스키(Nordic ski)는 스키 부츠의 앞쪽은 바인딩에 고정되어 있고, 뒷꿈치는 스키에서 떨어지는 형태의 스키이다. 부츠 앞쪽부터 뒷쪽까지 스키에 고정하는 알파인 스키와 대조된다. 경기 종목으로 크로스컨트리 스키와 텔레마크 스키가 포함된다.</t>
  </si>
  <si>
    <t>{'word': '텔레마크 스키', 'start_idx': 126, 'end_idx': 132, 'type': 'SPR'}</t>
  </si>
  <si>
    <t>주심을 1명으로 정했을 때는 5명의 심판원 중 최고 및 최하를 뺀 나머지 3명의 심판원의 평균점으로 결정한다.</t>
  </si>
  <si>
    <t>{'word': '주심', 'start_idx': 0, 'end_idx': 1, 'type': 'PER'}</t>
  </si>
  <si>
    <t>{'word': '심판원', 'start_idx': 20, 'end_idx': 22, 'type': 'ORG'}</t>
  </si>
  <si>
    <t>이에 따라, 선수는 다른 특성의 코스에서 벌어지는 특정 대회를 선호하고 팀 안에서 서로 다른 전략적 역할을 수행하게 된다.</t>
  </si>
  <si>
    <t>{'word': '다른 특성의 코스', 'start_idx': 11, 'end_idx': 19, 'type': 'POH'}</t>
  </si>
  <si>
    <t>{'word': '전략적 역할', 'start_idx': 52, 'end_idx': 57, 'type': 'POH'}</t>
  </si>
  <si>
    <t>그립의 선택은 개인의 선호에 따른다.</t>
  </si>
  <si>
    <t>{'word': '개인', 'start_idx': 8, 'end_idx': 9, 'type': 'POH'}</t>
  </si>
  <si>
    <t>{'word': '그립', 'start_idx': 0, 'end_idx': 1, 'type': 'POH'}</t>
  </si>
  <si>
    <t>도로 경기 부문에서는 각각의 선수가 서로 다른(상대적인) 강점과 약점을 가지고 있다.</t>
  </si>
  <si>
    <t>{'word': '강점과 약점', 'start_idx': 32, 'end_idx': 37, 'type': 'POH'}</t>
  </si>
  <si>
    <t>{'word': '도로 경기', 'start_idx': 0, 'end_idx': 4, 'type': 'SPR'}</t>
  </si>
  <si>
    <t>이 경기는 울트라마라톤 사이클링 협회에서 인가하였다.</t>
  </si>
  <si>
    <t>{'word': '이 경기', 'start_idx': 0, 'end_idx': 3, 'type': 'POH'}</t>
  </si>
  <si>
    <t>{'word': '울트라마라톤 사이클링 협회', 'start_idx': 6, 'end_idx': 19, 'type': 'ORG'}</t>
  </si>
  <si>
    <t>1912년 스톡홀름 올림픽대회에서는 경영 거리 400 미터의 여자 계영 종목이 신설되었다.</t>
  </si>
  <si>
    <t>{'word': '1912년', 'start_idx': 0, 'end_idx': 4, 'type': 'DAT'}</t>
  </si>
  <si>
    <t>{'word': '여자 계영 종목', 'start_idx': 34, 'end_idx': 41, 'type': 'SPR'}</t>
  </si>
  <si>
    <t>사격은 4차례에 걸쳐 시행되며, 사격 순서는 엎드려 쏘기, 서서 쏘기, 엎드려 쏘기, 서서 쏘는 형식으로 하여야 하며, 매 회당 50m 밖에 있는 표적을 5발씩 쏘아야 하며, 맞추지 못한 표적 당 1분이 선수의 기록에 추가된다.</t>
  </si>
  <si>
    <t>{'word': '사격', 'start_idx': 18, 'end_idx': 19, 'type': 'SPR'}</t>
  </si>
  <si>
    <t>{'word': '엎드려 쏘기', 'start_idx': 25, 'end_idx': 30, 'type': 'POH'}</t>
  </si>
  <si>
    <t>경주 도중 혹은 시작전에 팀원중 누가 승리의 가능성이 가장 큰지를 자신들 안에서 결정하기도 한다.</t>
  </si>
  <si>
    <t>{'word': '가능성', 'start_idx': 25, 'end_idx': 27, 'type': 'POH'}</t>
  </si>
  <si>
    <t>{'word': '결정', 'start_idx': 45, 'end_idx': 46, 'type': 'POH'}</t>
  </si>
  <si>
    <t>푸시라는 스트로크가 상당히 위협적인 이유는 게임이 진행되는 흐름보다 갑자기 빠르게 셔틀을 타구하기 때문인데, 특히 남자단식 프로선수들의 경기를 보면 푸시의 위력을 알 수 있다.</t>
  </si>
  <si>
    <t>{'word': '푸시', 'start_idx': 0, 'end_idx': 1, 'type': 'POH'}</t>
  </si>
  <si>
    <t>{'word': '셔틀', 'start_idx': 46, 'end_idx': 47, 'type': 'EQP'}</t>
  </si>
  <si>
    <t>셔틀콕을 시험하려면, 풀 언더핸드 스트로크로 반대편 백라인(back boundary line)을 향해 셔틀콕을 쳐본다.</t>
  </si>
  <si>
    <t>{'word': '셔틀콕', 'start_idx': 57, 'end_idx': 59, 'type': 'EQP'}</t>
  </si>
  <si>
    <t>{'word': '풀 언더핸드 스트로크', 'start_idx': 12, 'end_idx': 22, 'type': 'POH'}</t>
  </si>
  <si>
    <t>일반적으로 포핸드 스트로크를 사용하여 기술을 구사하는것이 백핸드보다 쉽다고 느껴진다.</t>
  </si>
  <si>
    <t>{'word': '포핸드 스트로크', 'start_idx': 6, 'end_idx': 13, 'type': 'POH'}</t>
  </si>
  <si>
    <t>{'word': '기술', 'start_idx': 21, 'end_idx': 22, 'type': 'POH'}</t>
  </si>
  <si>
    <t>정상 속도의 셔틀콕은 백라인에서 530mm 이상 짧게 떨어지거나 990mm 이상 길게 나가서는 안된다.</t>
  </si>
  <si>
    <t>{'word': '백라인', 'start_idx': 12, 'end_idx': 14, 'type': 'POH'}</t>
  </si>
  <si>
    <t>파6은 파를 하려면 홀컵에 6번만에 들어가야 하는홀을 말한다.</t>
  </si>
  <si>
    <t>{'word': '파6', 'start_idx': 0, 'end_idx': 1, 'type': 'POH'}</t>
  </si>
  <si>
    <t>AD 1000년경에 공식적인 경기장에서 시합이 시작되었고 개신교도인 MERCURY가 처음으로 권투를 인정하였다.</t>
  </si>
  <si>
    <t>{'word': '권투', 'start_idx': 52, 'end_idx': 53, 'type': 'SPR'}</t>
  </si>
  <si>
    <t>{'word': 'AD 1000년경', 'start_idx': 0, 'end_idx': 8, 'type': 'DAT'}</t>
  </si>
  <si>
    <t>배영(背泳, 문화어: 누운헤염, backstroke, back crawl)은 보통의 다른 수영 방법들과 다르고 물 속에서 출발한다.</t>
  </si>
  <si>
    <t>{'word': '누운헤염', 'start_idx': 12, 'end_idx': 15, 'type': 'SPR'}</t>
  </si>
  <si>
    <t>{'word': '배영', 'start_idx': 0, 'end_idx': 1, 'type': 'SPR'}</t>
  </si>
  <si>
    <t>기술의 내용은 마루운동의 기술과 아주 비슷하지만 운동하는 지지면의 제한과 높이의 차이라는 조건하에 운동이 행해지게 되고 걷기·뛰기·방향바꾸기·구르기·돌기·공중돌기 등의 동적인 요소가 있고, 균형을 취하는 정적인 요소가 있다.</t>
  </si>
  <si>
    <t>{'word': '마루운동', 'start_idx': 8, 'end_idx': 11, 'type': 'SPR'}</t>
  </si>
  <si>
    <t>{'word': '걷기·뛰기·방향바꾸기·구르기·돌기·공중돌기', 'start_idx': 67, 'end_idx': 89, 'type': 'POH'}</t>
  </si>
  <si>
    <t>옛 사진들을 통해 영국의 전통 놀이인 배틀도어 앤드 셔틀콕에 네트를 더해 즐기는 모습을 확인할 수 있다.</t>
  </si>
  <si>
    <t>{'word': '배틀도어 앤드 셔틀콕', 'start_idx': 21, 'end_idx': 31, 'type': 'SPR'}</t>
  </si>
  <si>
    <t>{'word': '영국', 'start_idx': 10, 'end_idx': 11, 'type': 'LOC'}</t>
  </si>
  <si>
    <t>경기 시작시 동전을 던져 이긴 쪽에서 서브권이나 코트 위치 둘 중 하나를 선택하여 결정할 권리를 갖는다.</t>
  </si>
  <si>
    <t>{'word': '동전', 'start_idx': 7, 'end_idx': 8, 'type': 'POH'}</t>
  </si>
  <si>
    <t>{'word': '코트', 'start_idx': 27, 'end_idx': 28, 'type': 'EQP'}</t>
  </si>
  <si>
    <t>그러나 헤로도토스(역사 6, 106-107)에 따르면 기원전 490년 아테네가 페르시아군이 마라톤에 상륙한다는 소식을 듣고 전령 페이디피데스를 스파르타에 도움을 청하기 위해 파견하였으며 페이디피데스는 약 200Km의 거리를 이틀에 걸쳐 돌주하였다고 한다.</t>
  </si>
  <si>
    <t>{'word': '마라톤', 'start_idx': 51, 'end_idx': 53, 'type': 'LOC'}</t>
  </si>
  <si>
    <t>{'word': '헤로도토스', 'start_idx': 4, 'end_idx': 8, 'type': 'PER'}</t>
  </si>
  <si>
    <t>줄의 속도는 조화롭게 변화시키며, 움직임은 연속성과 탄력성을 유지해야 한다.</t>
  </si>
  <si>
    <t>{'word': '줄', 'start_idx': 0, 'end_idx': 0, 'type': 'EQP'}</t>
  </si>
  <si>
    <t>{'word': '연속성', 'start_idx': 24, 'end_idx': 26, 'type': 'POH'}</t>
  </si>
  <si>
    <t>신체조(新體操) 또는 현대리듬체조(modern rhythmic gymnastics)라고도 한다.</t>
  </si>
  <si>
    <t>{'word': '신체조', 'start_idx': 0, 'end_idx': 2, 'type': 'SPR'}</t>
  </si>
  <si>
    <t>{'word': '현대리듬체조', 'start_idx': 12, 'end_idx': 17, 'type': 'SPR'}</t>
  </si>
  <si>
    <t>일련체조에는 국민체조, 새천년건강체조 등이 있다.</t>
  </si>
  <si>
    <t>{'word': '일련체조', 'start_idx': 0, 'end_idx': 3, 'type': 'SPR'}</t>
  </si>
  <si>
    <t>{'word': '국민체조', 'start_idx': 7, 'end_idx': 10, 'type': 'SPR'}</t>
  </si>
  <si>
    <t>세계 선수 랭킹은 매주 목요일마다 업데이트 된다.</t>
  </si>
  <si>
    <t>{'word': '세계 선수 랭킹', 'start_idx': 0, 'end_idx': 7, 'type': 'POH'}</t>
  </si>
  <si>
    <t>{'word': '매주 목요일', 'start_idx': 10, 'end_idx': 15, 'type': 'DAT'}</t>
  </si>
  <si>
    <t>평행봉 운동은 어깨·팔·가슴의 근력을 발달시키고, 정확한 동작, 아름다운 자세 등과 함께 주의력·침착성 등도 향상된다.</t>
  </si>
  <si>
    <t>{'word': '정확한 동작', 'start_idx': 28, 'end_idx': 33, 'type': 'POH'}</t>
  </si>
  <si>
    <t>또한 역전경기(驛傳競技)가 있는데 도로에서 하는 장거리 릴레이의 하나로 장거리 선수들이 각자의 담당 구역을 달린 다음 중계하는 지점에서 다음 선수에게 이어 주어, 일정한 거리를 정해진 몇 선수에 의하여 달리는 경주이다.</t>
  </si>
  <si>
    <t>{'word': '驛傳競技', 'start_idx': 8, 'end_idx': 11, 'type': 'SPR'}</t>
  </si>
  <si>
    <t>{'word': '역전경기', 'start_idx': 3, 'end_idx': 6, 'type': 'SPR'}</t>
  </si>
  <si>
    <t>장애지역으로 해저드의 일종이다.</t>
  </si>
  <si>
    <t>{'word': '해저드', 'start_idx': 7, 'end_idx': 9, 'type': 'POH'}</t>
  </si>
  <si>
    <t>{'word': '장애지역', 'start_idx': 0, 'end_idx': 3, 'type': 'POH'}</t>
  </si>
  <si>
    <t>근력, 지구력, 유연성, 민첩성, 평형감각을 이용해 제한 시간 내에 많은 기술을 사용해야 하며 미적 표현력을 가지고 아름다운 기술을 뽐내야 한다.</t>
  </si>
  <si>
    <t>{'word': '민첩성', 'start_idx': 14, 'end_idx': 16, 'type': 'POH'}</t>
  </si>
  <si>
    <t>{'word': '미적 표현력', 'start_idx': 53, 'end_idx': 58, 'type': 'POH'}</t>
  </si>
  <si>
    <t>크라치 홀드(crotch hold)는 사타구니를 끼고 틀어서 넘기는 하체 공격 기술.</t>
  </si>
  <si>
    <t>{'word': '크라치 홀드', 'start_idx': 0, 'end_idx': 5, 'type': 'POH'}</t>
  </si>
  <si>
    <t>{'word': '사타구니', 'start_idx': 21, 'end_idx': 24, 'type': 'POH'}</t>
  </si>
  <si>
    <t>#아웃 오브 바운즈(out of bounds)는 코스 이외의 플레이 금지구역을 뜻한다. OB라고도 함.</t>
  </si>
  <si>
    <t>{'word': 'OB', 'start_idx': 49, 'end_idx': 50, 'type': 'POH'}</t>
  </si>
  <si>
    <t>{'word': '아웃 오브 바운즈', 'start_idx': 1, 'end_idx': 9, 'type': 'POH'}</t>
  </si>
  <si>
    <t>경기에 쓰이는 매트는 원 안쪽 지름 7m의 원형으로 두께는 최소한 10 cm 이상이어야 하는데 넓이 12m×12m의 대 위에 놓인다.</t>
  </si>
  <si>
    <t>{'word': '대', 'start_idx': 65, 'end_idx': 65, 'type': 'EQP'}</t>
  </si>
  <si>
    <t>{'word': '매트', 'start_idx': 8, 'end_idx': 9, 'type': 'EQP'}</t>
  </si>
  <si>
    <t>1964년 도쿄 올림픽에서 장창선 선수가 은메달을 따면서 세계 무대에 알려지더니, 1966년 세계레슬링선수권대회에서 장창선 선수가 대한민국 레슬링사상 최초로 금메달을 땄으며, 1976년 제21회 몬트리올 올림픽에서는 양정모 선수가 자유형 62kg급에서 금메달을 획득하였다.</t>
  </si>
  <si>
    <t>{'word': '레슬링', 'start_idx': 78, 'end_idx': 80, 'type': 'SPR'}</t>
  </si>
  <si>
    <t>{'word': '장창선 선수', 'start_idx': 15, 'end_idx': 20, 'type': 'PER'}</t>
  </si>
  <si>
    <t>퀸튜플보기(quintuple bogey)는 파보다 5타 많은 타수를 뜻한다.</t>
  </si>
  <si>
    <t>{'word': 'quintuple bogey', 'start_idx': 6, 'end_idx': 20, 'type': 'POH'}</t>
  </si>
  <si>
    <t>{'word': '퀸튜플보기', 'start_idx': 0, 'end_idx': 4, 'type': 'POH'}</t>
  </si>
  <si>
    <t>예를 들어, 손이 큰 사람의 경우 라켓 손잡이의 굵기를 늘리기 위해 두 개 이상의 그립을 라켓에 감을 수 있다.</t>
  </si>
  <si>
    <t>{'word': '라켓', 'start_idx': 19, 'end_idx': 20, 'type': 'EQP'}</t>
  </si>
  <si>
    <t>{'word': '그립', 'start_idx': 46, 'end_idx': 47, 'type': 'POH'}</t>
  </si>
  <si>
    <t>자세 교정 운동으로는 굽은 등·굽은 허리·굳은 어깨·등뼈 등을 교정하는 운동 등이 있다.</t>
  </si>
  <si>
    <t>{'word': '등뼈', 'start_idx': 29, 'end_idx': 30, 'type': 'POH'}</t>
  </si>
  <si>
    <t>{'word': '굽은 등', 'start_idx': 12, 'end_idx': 15, 'type': 'POH'}</t>
  </si>
  <si>
    <t>원시인들은 생계를 유지하기 위해서 산과 들에서 동물을 사냥하고, 나무에 올라 열매를 따고, 물 속에서 고기를 잡으며, 다른 종족이나 부족과 싸움도 해야만 했다.</t>
  </si>
  <si>
    <t>{'word': '사냥', 'start_idx': 30, 'end_idx': 31, 'type': 'POH'}</t>
  </si>
  <si>
    <t>{'word': '원시인', 'start_idx': 0, 'end_idx': 2, 'type': 'POH'}</t>
  </si>
  <si>
    <t>뜀틀의 높이, 놓인 위치에 따라 도움닫기, 발구르기, 손짚기, 공중 자세를 이용하여 뜀틀을 넘되, 손짚기와 공중에서의 멋진 자세가 요구되는 운동이다.</t>
  </si>
  <si>
    <t>{'word': '멋진 자세가 요구되는 운동', 'start_idx': 66, 'end_idx': 79, 'type': 'SPR'}</t>
  </si>
  <si>
    <t>{'word': '뜀틀', 'start_idx': 0, 'end_idx': 1, 'type': 'EQP'}</t>
  </si>
  <si>
    <t>승리를 위한 경쟁자의 숫자를 줄이기 위해 공격 즉, 앞으로 타고 나감으로써 펠로톤에서 떨어져 나오는 한명의 선수나 한 그룹의 선수들이 있게 된다.</t>
  </si>
  <si>
    <t>{'word': '경쟁자', 'start_idx': 7, 'end_idx': 9, 'type': 'POH'}</t>
  </si>
  <si>
    <t>{'word': '공격', 'start_idx': 23, 'end_idx': 24, 'type': 'POH'}</t>
  </si>
  <si>
    <t>셔틀콕이 자신의 코트 안에 떨어지거나 또는 쳐서 넘긴 셔틀콕이 상대방 코트 바깥쪽에 떨어질 경우 실점하게 되며, 반대로 셔틀콕이 상대방 코트 안에 떨어지거나 또는 상대가 쳐서 넘어온 셔틀콕이 자신의 코트 바깥쪽에 떨어질 경우 득점하게 된다.</t>
  </si>
  <si>
    <t>{'word': '코트', 'start_idx': 9, 'end_idx': 10, 'type': 'POH'}</t>
  </si>
  <si>
    <t>대체적으로 복식 경기에서 주로 쓰이며, 단식의 경우에도 종종 사용하는 경우가 있다.</t>
  </si>
  <si>
    <t>{'word': '복식 경기', 'start_idx': 6, 'end_idx': 10, 'type': 'POH'}</t>
  </si>
  <si>
    <t>{'word': '단식', 'start_idx': 22, 'end_idx': 23, 'type': 'POH'}</t>
  </si>
  <si>
    <t>선수들은 고속주행시 서로 협동하고 드래프핑할 수 있다(페이스라인 또는 에첼론).</t>
  </si>
  <si>
    <t>{'word': '페이스라인', 'start_idx': 30, 'end_idx': 34, 'type': 'POH'}</t>
  </si>
  <si>
    <t>{'word': '드래프핑', 'start_idx': 19, 'end_idx': 22, 'type': 'POH'}</t>
  </si>
  <si>
    <t>고프는 ‘치다’라는 뜻의 영어 단어인 커프(Cuff)와 동의어인데, 여기서‘c’가 스코틀랜드식인 ‘g’로 변화하여 고프가 되었고 이것이 점차 변화하여 오늘날의 골프가 되었다는 설이다.</t>
  </si>
  <si>
    <t>{'word': '고프', 'start_idx': 0, 'end_idx': 1, 'type': 'POH'}</t>
  </si>
  <si>
    <t>{'word': '골프', 'start_idx': 89, 'end_idx': 90, 'type': 'SPR'}</t>
  </si>
  <si>
    <t>올림픽에서의 권투는 한 경기 당 3라운드로 진행되며 3라운드가 끝나도 승부가 결정되지 않을 경우 판정으로 승부를 결정한다.</t>
  </si>
  <si>
    <t>{'word': '3라운드', 'start_idx': 29, 'end_idx': 32, 'type': 'POH'}</t>
  </si>
  <si>
    <t>{'word': '권투', 'start_idx': 7, 'end_idx': 8, 'type': 'SPR'}</t>
  </si>
  <si>
    <t>어느 경우나 10점 만점으로 채점하며, 0.1점 단위로 계산한다.</t>
  </si>
  <si>
    <t>{'word': '채점', 'start_idx': 16, 'end_idx': 17, 'type': 'POH'}</t>
  </si>
  <si>
    <t>{'word': '10점 만점', 'start_idx': 7, 'end_idx': 12, 'type': 'POH'}</t>
  </si>
  <si>
    <t>북한에서는 1967년 코펜하겐 세계대회 때부터 출전하였고, 1971년 쿠바 대회에서는 소선덕이 금메달을 획득하였다.</t>
  </si>
  <si>
    <t>{'word': '북한', 'start_idx': 0, 'end_idx': 1, 'type': 'LOC'}</t>
  </si>
  <si>
    <t>{'word': '코펜하겐 세계대회', 'start_idx': 12, 'end_idx': 20, 'type': 'POH'}</t>
  </si>
  <si>
    <t>그립의 종류는 크게 보충(replacement) 그립과 오버그립(overgrip)으로 나뉜다.</t>
  </si>
  <si>
    <t>{'word': '오버그립(overgrip)', 'start_idx': 31, 'end_idx': 44, 'type': 'POH'}</t>
  </si>
  <si>
    <t>{'word': '보충(replacement) 그립', 'start_idx': 11, 'end_idx': 28, 'type': 'POH'}</t>
  </si>
  <si>
    <t>여자의 경우 모든 뛰어넘기는 두 손을 뜀틀 위에 대고 시행해야 한다.</t>
  </si>
  <si>
    <t>{'word': '뜀틀', 'start_idx': 21, 'end_idx': 22, 'type': 'EQP'}</t>
  </si>
  <si>
    <t>{'word': '뛰어넘기', 'start_idx': 10, 'end_idx': 13, 'type': 'POH'}</t>
  </si>
  <si>
    <t>자유형은 상대방의 신체 중 어느 부분을 잡아도 좋다.</t>
  </si>
  <si>
    <t>{'word': '어느 부분', 'start_idx': 15, 'end_idx': 19, 'type': 'POH'}</t>
  </si>
  <si>
    <t>반드시 양손을 사용해야 하며, 무게 150g 이상, 길이 40~ 50cm인 목재 곤봉을 사용한다.</t>
  </si>
  <si>
    <t>{'word': '곤봉', 'start_idx': 45, 'end_idx': 46, 'type': 'EQP'}</t>
  </si>
  <si>
    <t>{'word': '목재', 'start_idx': 42, 'end_idx': 43, 'type': 'POH'}</t>
  </si>
  <si>
    <t>군소 기구로 세계 프로 복싱 연맹(WPBF), 국제 복싱 기구(IBO), 세계 복싱 기금(WBF), 세계 복싱 연합(WBU), 국제 복싱 협회(IBA), 국제 복싱 연합(IBU), 국제 복싱 평의회(IBC)가 있다.</t>
  </si>
  <si>
    <t>{'word': '국제 복싱 기구', 'start_idx': 26, 'end_idx': 33, 'type': 'ORG'}</t>
  </si>
  <si>
    <t>{'word': '국제 복싱 평의회', 'start_idx': 101, 'end_idx': 109, 'type': 'ORG'}</t>
  </si>
  <si>
    <t>고대 조각이나 벽화에 나타난 바에 따르면 권투는 BC 3000년 전에 시작되었다.</t>
  </si>
  <si>
    <t>{'word': '권투', 'start_idx': 23, 'end_idx': 24, 'type': 'SPR'}</t>
  </si>
  <si>
    <t>{'word': 'BC 3000년 전', 'start_idx': 27, 'end_idx': 36, 'type': 'DAT'}</t>
  </si>
  <si>
    <t>2009년 구월 기준으로, 프로사이클링을 주관하는 국제 자전거 경기 연합(UCI)는 남자 최상층의 도로 경기에서 팀의 무전기 사용에 대한 금지를 점진적으로 도입하기로 결정하였다.</t>
  </si>
  <si>
    <t>{'word': '국제 자전거 경기 연합', 'start_idx': 28, 'end_idx': 39, 'type': 'ORG'}</t>
  </si>
  <si>
    <t>{'word': 'UCI', 'start_idx': 41, 'end_idx': 43, 'type': 'ORG'}</t>
  </si>
  <si>
    <t>남자의 연기 구성은 힘 기량, 정지 기량, 평균 기량, 재주넘기 기량을 보일 수 있도록 짜되, 연기 시간은 50-70초 이내이다.</t>
  </si>
  <si>
    <t>{'word': '연기', 'start_idx': 4, 'end_idx': 5, 'type': 'SPR'}</t>
  </si>
  <si>
    <t>{'word': '힘 기량', 'start_idx': 11, 'end_idx': 14, 'type': 'POH'}</t>
  </si>
  <si>
    <t>이때, 셔틀콕이 사이드라인과 평행한 방향으로 날아가 백라인에 닿을 수 있어야 한다.</t>
  </si>
  <si>
    <t>{'word': '사이드라인', 'start_idx': 9, 'end_idx': 13, 'type': 'POH'}</t>
  </si>
  <si>
    <t>캐디(caddie)는 플레이어의 골프채(클럽)를 운반하는 사람을 지칭한다.</t>
  </si>
  <si>
    <t>{'word': '골프채', 'start_idx': 18, 'end_idx': 20, 'type': 'EQP'}</t>
  </si>
  <si>
    <t>{'word': '클럽', 'start_idx': 22, 'end_idx': 23, 'type': 'EQP'}</t>
  </si>
  <si>
    <t>헤어핀의 구사 난이도는 상당히 높은편이라고 할 수 있는데, 그 이유는 헤어핀을 구사하는데 있어서 다른 스트로크보다 많은 조건이 필요하기 때문이다.</t>
  </si>
  <si>
    <t>{'word': '구사 난이도', 'start_idx': 5, 'end_idx': 10, 'type': 'POH'}</t>
  </si>
  <si>
    <t>{'word': '헤어핀', 'start_idx': 0, 'end_idx': 2, 'type': 'POH'}</t>
  </si>
  <si>
    <t>매트 밖으로 나간 선수가 매트 안에 있는 선수를 공격할 때 또는 도망치기 위하여 매트 가장자리에 매달릴 때.</t>
  </si>
  <si>
    <t>{'word': '매트 안에 있는 선수', 'start_idx': 14, 'end_idx': 24, 'type': 'POH'}</t>
  </si>
  <si>
    <t>{'word': '매트', 'start_idx': 45, 'end_idx': 46, 'type': 'EQP'}</t>
  </si>
  <si>
    <t>서브한 셔틀콕이 상대편 서비스 코트 안에 떨어져야 하며, 서브는 허리 높이보다 낮은 위치에서 라켓이 아래쪽을 향한 상태로 쳐야만 한다.</t>
  </si>
  <si>
    <t>{'word': '라켓', 'start_idx': 52, 'end_idx': 53, 'type': 'EQP'}</t>
  </si>
  <si>
    <t>{'word': '서브', 'start_idx': 32, 'end_idx': 33, 'type': 'POH'}</t>
  </si>
  <si>
    <t>리본에는 기본 동작으로 흔들기, 던지기, 돌리기, 바꿔 잡기, 휘돌리기, 풀기, 넘기 등이 있는데, 동작 사이에 정지가 없도록 실시해야 한다.</t>
  </si>
  <si>
    <t>{'word': '바꿔 잡기', 'start_idx': 28, 'end_idx': 32, 'type': 'POH'}</t>
  </si>
  <si>
    <t>{'word': '리본', 'start_idx': 0, 'end_idx': 1, 'type': 'SPR'}</t>
  </si>
  <si>
    <t>맨손 체조에는 몸을 부드럽게 하는 운동, 힘을 기르는 운동, 자세 교정 운동, 평균 운동 등이 있다.</t>
  </si>
  <si>
    <t>{'word': '자세 교정 운동', 'start_idx': 34, 'end_idx': 41, 'type': 'SPR'}</t>
  </si>
  <si>
    <t>브리지(bridge)는 누운 채로 머리와 다리를 움직여 양 어깨를 매트에서 떼는 기술. 폴을 막는 데 쓰이는 기본기이다.</t>
  </si>
  <si>
    <t>{'word': '브리지', 'start_idx': 0, 'end_idx': 2, 'type': 'POH'}</t>
  </si>
  <si>
    <t>{'word': '매트', 'start_idx': 37, 'end_idx': 38, 'type': 'EQP'}</t>
  </si>
  <si>
    <t>개인경기는 남성 20km, 여성 15km로, 선수의 출발은 30초나 1분 간격으로 한다.</t>
  </si>
  <si>
    <t>{'word': '개인경기', 'start_idx': 0, 'end_idx': 3, 'type': 'POH'}</t>
  </si>
  <si>
    <t>{'word': '선수', 'start_idx': 25, 'end_idx': 26, 'type': 'POH'}</t>
  </si>
  <si>
    <t>경기장은 탄력이 없는 12×12m인 마루(floor).</t>
  </si>
  <si>
    <t>{'word': '경기장', 'start_idx': 0, 'end_idx': 2, 'type': 'POH'}</t>
  </si>
  <si>
    <t>{'word': '마루', 'start_idx': 20, 'end_idx': 21, 'type': 'EQP'}</t>
  </si>
  <si>
    <t>복싱이라는 이름이 붙은 경기로는 킥복싱, 체스 복싱 등도 있다.</t>
  </si>
  <si>
    <t>{'word': '킥복싱', 'start_idx': 18, 'end_idx': 20, 'type': 'SPR'}</t>
  </si>
  <si>
    <t>다리는 자유형의 발차기를 한다.</t>
  </si>
  <si>
    <t>{'word': '자유형', 'start_idx': 4, 'end_idx': 6, 'type': 'SPR'}</t>
  </si>
  <si>
    <t>{'word': '발차기', 'start_idx': 9, 'end_idx': 11, 'type': 'POH'}</t>
  </si>
  <si>
    <t>상대방에게 똑같이 드라이브로 공을 되돌려주거나, 셔틀의 속도를 갑자기 줄여서 공격권을 가져오거나, 공을 띄워 수비를 하거나 이 세가지가 대부분.</t>
  </si>
  <si>
    <t>{'word': '셔틀', 'start_idx': 27, 'end_idx': 28, 'type': 'EQP'}</t>
  </si>
  <si>
    <t>{'word': '속도', 'start_idx': 31, 'end_idx': 32, 'type': 'POH'}</t>
  </si>
  <si>
    <t>여럿이서 효율적으로 부드럽게 협동함으로써, 작은 그룹은 펠로톤보다 더 높은 속도를 유지할 수 있는데, 이 펠로톤에 남겨진 선수들은 효율적으로 추격할 정도로 고무되거나 조직되지 않는 수가 많이 있다.</t>
  </si>
  <si>
    <t>{'word': '높은 속도', 'start_idx': 39, 'end_idx': 43, 'type': 'POH'}</t>
  </si>
  <si>
    <t>{'word': '작은 그룹', 'start_idx': 24, 'end_idx': 28, 'type': 'POH'}</t>
  </si>
  <si>
    <t>벙커(bunker)는 코스 안에 있는 인공 모래사장이다.</t>
  </si>
  <si>
    <t>{'word': '인공 모래사장', 'start_idx': 21, 'end_idx': 27, 'type': 'POH'}</t>
  </si>
  <si>
    <t>{'word': '벙커', 'start_idx': 0, 'end_idx': 1, 'type': 'POH'}</t>
  </si>
  <si>
    <t>코트의 전체 폭은 6.1미터(20피트)이며, 단식 코트의 폭은 5.18미터(17피트)이다. 코트의 전체 길이는 13.4미터(44피트)이다.</t>
  </si>
  <si>
    <t>{'word': '단식 코트의 폭', 'start_idx': 25, 'end_idx': 32, 'type': 'POH'}</t>
  </si>
  <si>
    <t>{'word': '코트의 전체 길이', 'start_idx': 51, 'end_idx': 59, 'type': 'POH'}</t>
  </si>
  <si>
    <t>체공시간을 길게 하기위해 높고 멀리 셔틀콕을 타구한다.</t>
  </si>
  <si>
    <t>{'word': '셔틀콕', 'start_idx': 20, 'end_idx': 22, 'type': 'EQP'}</t>
  </si>
  <si>
    <t>{'word': '체공시간', 'start_idx': 0, 'end_idx': 3, 'type': 'POH'}</t>
  </si>
  <si>
    <t>간혹 파6, 파7홀도 있기는 하지만 매우 드물다.</t>
  </si>
  <si>
    <t>{'word': '파7', 'start_idx': 7, 'end_idx': 8, 'type': 'POH'}</t>
  </si>
  <si>
    <t>{'word': '파6', 'start_idx': 3, 'end_idx': 4, 'type': 'POH'}</t>
  </si>
  <si>
    <t>예를 들어 Par3 홀에서 3번 쳐서 홀컵에 넣는것.</t>
  </si>
  <si>
    <t>{'word': '홀컵', 'start_idx': 21, 'end_idx': 22, 'type': 'EQP'}</t>
  </si>
  <si>
    <t>{'word': 'Par3', 'start_idx': 6, 'end_idx': 9, 'type': 'POH'}</t>
  </si>
  <si>
    <t>매달리는 힘이 중심으로, 매달려 흔들기, 돌기 운동이 기본 동작이다. 이 운동을 하면 매달리는 힘과 팔·어깨·가슴 부위의 근육이 발달된다.</t>
  </si>
  <si>
    <t>{'word': '매달리는 힘', 'start_idx': 0, 'end_idx': 5, 'type': 'POH'}</t>
  </si>
  <si>
    <t>{'word': '팔', 'start_idx': 56, 'end_idx': 56, 'type': 'POH'}</t>
  </si>
  <si>
    <t>올림픽에서는 제1라운드(3분) 휴식 30초, 제2라운드(3분)으로 구성되어 있다.</t>
  </si>
  <si>
    <t>{'word': '제1라운드', 'start_idx': 7, 'end_idx': 11, 'type': 'POH'}</t>
  </si>
  <si>
    <t>{'word': '제2라운드', 'start_idx': 25, 'end_idx': 29, 'type': 'POH'}</t>
  </si>
  <si>
    <t>리본은 길이 6m, 폭 4~6cm, 손잡이 길이 50~60cm로 규정되어 있으며, 양손을 고루 사용해야 한다.</t>
  </si>
  <si>
    <t>{'word': '손잡이', 'start_idx': 20, 'end_idx': 22, 'type': 'POH'}</t>
  </si>
  <si>
    <t>각 홀은 경기를 시작하는 티박스(Tee Box)와 내경 108 mm(4¼ inch)의 홀컵을 포함한 퍼팅 그린(Putting Green)이 있어야 한다.</t>
  </si>
  <si>
    <t>{'word': '티박스', 'start_idx': 14, 'end_idx': 16, 'type': 'EQP'}</t>
  </si>
  <si>
    <t>{'word': '퍼팅 그린', 'start_idx': 56, 'end_idx': 60, 'type': 'POH'}</t>
  </si>
  <si>
    <t>연기의 구성은 고급 난이도 2개, 중급 난이도 6개로 구성한다.</t>
  </si>
  <si>
    <t>{'word': '고급', 'start_idx': 8, 'end_idx': 9, 'type': 'POH'}</t>
  </si>
  <si>
    <t>{'word': '연기', 'start_idx': 0, 'end_idx': 1, 'type': 'POH'}</t>
  </si>
  <si>
    <t>골프(golf)는 골프채로 골프공을 쳐서 코스상에 있는 구멍에 넣는 운동(club-and-ball sport)이다.</t>
  </si>
  <si>
    <t>{'word': '골프공', 'start_idx': 15, 'end_idx': 17, 'type': 'EQP'}</t>
  </si>
  <si>
    <t>예를 들어, 지난 30년 동안의 유명한 직업적인 팀은 팀 텔레콤, 라보뱅크, 온세, 매페이, 램프리 등이다.</t>
  </si>
  <si>
    <t>{'word': '직업적인 팀', 'start_idx': 22, 'end_idx': 27, 'type': 'POH'}</t>
  </si>
  <si>
    <t>{'word': '텔레콤', 'start_idx': 32, 'end_idx': 34, 'type': 'POH'}</t>
  </si>
  <si>
    <t>캐리(carry)는 쳐낸 공이 공중에 머물러 있는 거리를 이르는 말이다.</t>
  </si>
  <si>
    <t>{'word': '캐리', 'start_idx': 0, 'end_idx': 1, 'type': 'POH'}</t>
  </si>
  <si>
    <t>1887년까지 영국에서는 영국령 인도에서 유행하던 배드민턴 규칙을 그대로 차용해왔다.</t>
  </si>
  <si>
    <t>{'word': '배드민턴', 'start_idx': 28, 'end_idx': 31, 'type': 'SPR'}</t>
  </si>
  <si>
    <t>{'word': '영국령 인도', 'start_idx': 14, 'end_idx': 19, 'type': 'LOC'}</t>
  </si>
  <si>
    <t>클리어의 방식은 2가지로 나뉘는데 체공시간을 길게하여 수비적으로 안정감을 주는 하이클리어와 낮고 빠른공을 깊숙하게 보내어 상대방의 허를 찌르는 드리븐 클리어가 있다.</t>
  </si>
  <si>
    <t>{'word': '하이클리어', 'start_idx': 44, 'end_idx': 48, 'type': 'POH'}</t>
  </si>
  <si>
    <t>{'word': '드리븐 클리어', 'start_idx': 80, 'end_idx': 86, 'type': 'POH'}</t>
  </si>
  <si>
    <t>1900년 파리 올림픽대회에서는 200야드를 5명 한 팀으로 계영에 출전했다.</t>
  </si>
  <si>
    <t>{'word': '계영', 'start_idx': 34, 'end_idx': 35, 'type': 'SPR'}</t>
  </si>
  <si>
    <t>{'word': '1900년', 'start_idx': 0, 'end_idx': 4, 'type': 'DAT'}</t>
  </si>
  <si>
    <t>배드민턴(badminton, 문화어: 바드민톤)은 네트가 설치된 사각형의 코트에서 라켓과 셔틀콕을 이용하여 두 명의 선수(단식) 혹은 두 팀(복식)이 경기를 펼치는 라켓 스포츠의 일종이다.</t>
  </si>
  <si>
    <t>{'word': 'badminton', 'start_idx': 5, 'end_idx': 13, 'type': 'SPR'}</t>
  </si>
  <si>
    <t>대개 옆으로 재주 넘기에 이어 앞이나 뒤로 손 짚고 재주 넘기와 공중제비를 하는 일련의 동작으로 시작하여 끝난다.</t>
  </si>
  <si>
    <t>{'word': '옆으로 재주 넘기', 'start_idx': 3, 'end_idx': 11, 'type': 'POH'}</t>
  </si>
  <si>
    <t>{'word': '공중제비', 'start_idx': 36, 'end_idx': 39, 'type': 'POH'}</t>
  </si>
  <si>
    <t>또한 권투는 다른 종목과는 달리 준결승에서 패하면 3/4위전 없이 무조건 동메달로 처리하기 때문에 다른 종목에 비해 동메달이 한개가 더 많다.</t>
  </si>
  <si>
    <t>{'word': '다른 종목', 'start_idx': 7, 'end_idx': 11, 'type': 'SPR'}</t>
  </si>
  <si>
    <t>{'word': '권투', 'start_idx': 3, 'end_idx': 4, 'type': 'SPR'}</t>
  </si>
  <si>
    <t>드롭은 후방에서 스매시와 같은동작으로 스트로크를 하되, 힘을 빼서 네트 앞에 떨어뜨리게 하는 스트로크이다.드롭을 하는 동시에 순간적으로 셔틀콕을 깎아쳐서 코르크부분에 회전을 주어 방향을 바꿀수도 있다.</t>
  </si>
  <si>
    <t>{'word': '셔틀콕', 'start_idx': 76, 'end_idx': 78, 'type': 'EQP'}</t>
  </si>
  <si>
    <t>{'word': '코르크부분', 'start_idx': 86, 'end_idx': 90, 'type': 'POH'}</t>
  </si>
  <si>
    <t>언더파(under par)는 18홀을 규정된 타수인 파 72 이하로 한 바퀴 도는 일을 뜻한다.</t>
  </si>
  <si>
    <t>{'word': '18홀', 'start_idx': 16, 'end_idx': 18, 'type': 'POH'}</t>
  </si>
  <si>
    <t>{'word': '언더파', 'start_idx': 0, 'end_idx': 2, 'type': 'POH'}</t>
  </si>
  <si>
    <t>도로 경기는 세계 여러곳에서 인기가 있지만 특히 유럽에서 더욱 그러하다.</t>
  </si>
  <si>
    <t>{'word': '유럽', 'start_idx': 27, 'end_idx': 28, 'type': 'LOC'}</t>
  </si>
  <si>
    <t>보기(bogey)는 파보다 1타 많은 타수를 말한다.</t>
  </si>
  <si>
    <t>{'word': '파', 'start_idx': 11, 'end_idx': 11, 'type': 'POH'}</t>
  </si>
  <si>
    <t>{'word': 'bogey', 'start_idx': 3, 'end_idx': 7, 'type': 'POH'}</t>
  </si>
  <si>
    <t>대한민국에서는 도로 자전거 혹은 도로 자전거 경기를 영어로 자전거 타기를 뜻하는 사이클링(영어: cycling)을 줄여 자전거(영어: bicycle 바이시컬) 혹은 모터사이클(영어: motorcycle)을 뜻하는 사이클(영어: cycle)로 많이 부른다.</t>
  </si>
  <si>
    <t>{'word': '도로 자전거 경기', 'start_idx': 18, 'end_idx': 26, 'type': 'SPR'}</t>
  </si>
  <si>
    <t>{'word': '사이클링', 'start_idx': 45, 'end_idx': 48, 'type': 'SPR'}</t>
  </si>
  <si>
    <t>국제 체조 연맹은 122국가의 단체가 모인 연맹이다.</t>
  </si>
  <si>
    <t>{'word': '122국가의 단체', 'start_idx': 10, 'end_idx': 18, 'type': 'ORG'}</t>
  </si>
  <si>
    <t>사격은 4회에 걸쳐 5발씩 쏘며 표적을 맞히지 못하면 스프린트와 동일한 벌칙이 주어진다.</t>
  </si>
  <si>
    <t>{'word': '스프린트', 'start_idx': 30, 'end_idx': 33, 'type': 'SPR'}</t>
  </si>
  <si>
    <t>국제 체조 연맹에 의하여 규정된 평균대 기구는 나무로 된 대로 길이 5m, 너비 10cm 규격이며 높이는 120cm이다.</t>
  </si>
  <si>
    <t>{'word': '평균대 기구', 'start_idx': 18, 'end_idx': 23, 'type': 'EQP'}</t>
  </si>
  <si>
    <t>{'word': '나무', 'start_idx': 26, 'end_idx': 27, 'type': 'POH'}</t>
  </si>
  <si>
    <t>이와 함께 이들은 1899년 세계 최초의 배드민턴 대회인 전영 오픈 배드민턴 챔피언십을 개최하였다.</t>
  </si>
  <si>
    <t>{'word': '배드민턴 챔피언십', 'start_idx': 38, 'end_idx': 46, 'type': 'POH'}</t>
  </si>
  <si>
    <t>{'word': '1899년', 'start_idx': 10, 'end_idx': 14, 'type': 'LOC'}</t>
  </si>
  <si>
    <t>특히, 라켓과 셔틀콕의 형태 및 크기는 엄격히 제한된다.</t>
  </si>
  <si>
    <t>{'word': '셔틀콕', 'start_idx': 8, 'end_idx': 10, 'type': 'EQP'}</t>
  </si>
  <si>
    <t>{'word': '라켓', 'start_idx': 4, 'end_idx': 5, 'type': 'EQP'}</t>
  </si>
  <si>
    <t>점프, 공중 회전, 물구나무서기의 정지 동작, 무용적 요소 등을 연기에 포함시켜야 한다.</t>
  </si>
  <si>
    <t>{'word': '무용적 요소', 'start_idx': 26, 'end_idx': 31, 'type': 'POH'}</t>
  </si>
  <si>
    <t>고대 이집트에서 시작했으나 현대적 의미의 기계 체조는 1896년 하계 올림픽에서 시작했고 그 후 국제올림픽위원회(IOC)의 주관으로 4년 마다 개최하는 국제 스포츠대회인 올림픽의 한 종목으로 자리잡고 있다.</t>
  </si>
  <si>
    <t>{'word': '기계 체조', 'start_idx': 23, 'end_idx': 27, 'type': 'SPR'}</t>
  </si>
  <si>
    <t>{'word': '고대 이집트', 'start_idx': 0, 'end_idx': 5, 'type': 'LOC'}</t>
  </si>
  <si>
    <t>올바르게 친 공의 정상적인 통로라는 뜻으로, 잡초를 제거한 가늘면서 긴 지역인데, 공을 치기 쉽고 그린이 잘 보인다.</t>
  </si>
  <si>
    <t>{'word': '그린', 'start_idx': 55, 'end_idx': 56, 'type': 'POH'}</t>
  </si>
  <si>
    <t>{'word': '공', 'start_idx': 7, 'end_idx': 7, 'type': 'EQP'}</t>
  </si>
  <si>
    <t>가장 경쟁이 치열하고 열성적인 나라로는 벨기에, 프랑스, 독일, 이탈리아, 룩셈부르크, 네덜란드, 스페인, 스위스 등인데, 호주, 덴마크, 남아프리카 공화국, 뉴질랜드, 영국, 미국 등에서도 인기가 많다.</t>
  </si>
  <si>
    <t>{'word': '열성적인 나라', 'start_idx': 12, 'end_idx': 18, 'type': 'POH'}</t>
  </si>
  <si>
    <t>{'word': '벨기에', 'start_idx': 22, 'end_idx': 24, 'type': 'LOC'}</t>
  </si>
  <si>
    <t>팀원들은 리더의 승리 가능성을 최고로 높이기 위해 교대로 바람을 막아주고 리더가 탈출하였을 때 펠로톤과 함께 추격하길 거부하는 등의 전력을 다하게 된다.</t>
  </si>
  <si>
    <t>{'word': '추격', 'start_idx': 61, 'end_idx': 62, 'type': 'POH'}</t>
  </si>
  <si>
    <t>{'word': '바람', 'start_idx': 32, 'end_idx': 33, 'type': 'POH'}</t>
  </si>
  <si>
    <t>물론 마라톤 전투와 관련된 일화로 페이디피데스가 스파르타로 질주하던 중 팬(판)신이 나타나 아테네의 건투를 약속했다고 하며, 이를 기리기 위해 아테네에서는 횃불 들고 달리기를 해마다 열었다고 한다.</t>
  </si>
  <si>
    <t>{'word': '달리기', 'start_idx': 93, 'end_idx': 95, 'type': 'POH'}</t>
  </si>
  <si>
    <t>채점규칙이 제정된 이후 올림픽을 주기로 매 4년마다 변경되어 왔으며 채점규칙을 근거로 기계체조 연기를 평가해왔으나 2005년까지 10점 만점제도틀은 바뀌지 않고 계속 유지해왔다.</t>
  </si>
  <si>
    <t>{'word': '올림픽', 'start_idx': 13, 'end_idx': 15, 'type': 'POH'}</t>
  </si>
  <si>
    <t>{'word': '기계체조', 'start_idx': 48, 'end_idx': 51, 'type': 'SPR'}</t>
  </si>
  <si>
    <t>서브의 방식에는 두가지 방식이 있는데, 일반적으로 숏서브와 롱서브로 분류한다.</t>
  </si>
  <si>
    <t>{'word': '숏서브', 'start_idx': 28, 'end_idx': 30, 'type': 'POH'}</t>
  </si>
  <si>
    <t>롤링 폴(rolling fall)은 몸이 옆으로 구르면서 두 어깨가 동시에 매트에 닿는 것.</t>
  </si>
  <si>
    <t>{'word': '두 어깨', 'start_idx': 32, 'end_idx': 35, 'type': 'POH'}</t>
  </si>
  <si>
    <t>{'word': '롤링 폴', 'start_idx': 0, 'end_idx': 3, 'type': 'POH'}</t>
  </si>
  <si>
    <t>여기서 헤로도토스는 페이디피데스가 마라톤 승전 소식을 아테네에 전했다는 사실을 언급하고 있지 않기 때문에 오늘날 마치 전설처럼 퍼져 있는 마라톤의 유래에 관한 이야기는 후대에 지어낸 것으로 여겨진다.</t>
  </si>
  <si>
    <t>{'word': '마라톤', 'start_idx': 19, 'end_idx': 21, 'type': 'SPR'}</t>
  </si>
  <si>
    <t>{'word': '아테네', 'start_idx': 30, 'end_idx': 32, 'type': 'LOC'}</t>
  </si>
  <si>
    <t>배드민턴 스트링(string)은 0.6~0.7mm 굵기의 얇고 강한 줄이다.</t>
  </si>
  <si>
    <t>{'word': '얇고 강한 줄', 'start_idx': 32, 'end_idx': 38, 'type': 'POH'}</t>
  </si>
  <si>
    <t>{'word': '배드민턴 스트링(string)', 'start_idx': 0, 'end_idx': 15, 'type': 'EQP'}</t>
  </si>
  <si>
    <t>싱글 레그 태클(single leg tackle)은 한쪽 다리로 걸고 들어가는 태클.</t>
  </si>
  <si>
    <t>{'word': '태클', 'start_idx': 44, 'end_idx': 45, 'type': 'POH'}</t>
  </si>
  <si>
    <t>{'word': '싱글 레그 태클', 'start_idx': 0, 'end_idx': 7, 'type': 'POH'}</t>
  </si>
  <si>
    <t>2번째 주자부터 앞 주자와 신체적 접촉을 통해 교체한다.</t>
  </si>
  <si>
    <t>{'word': '신체적 접촉', 'start_idx': 15, 'end_idx': 20, 'type': 'POH'}</t>
  </si>
  <si>
    <t>{'word': '2번째 주자', 'start_idx': 0, 'end_idx': 5, 'type': 'POH'}</t>
  </si>
  <si>
    <t>다리 운동의 종류로는 들기·흔들기, 굽혀 펴기, 들어 흔들기, 휘돌리기, 뜀뛰기, 벌리기, 발목 굽혀 펴기 등이 있다.</t>
  </si>
  <si>
    <t>{'word': '발목 굽혀 펴기', 'start_idx': 51, 'end_idx': 58, 'type': 'POH'}</t>
  </si>
  <si>
    <t>도마는 기구의 두 축 주위를 1회 또는 복수로 비트는 동작을 포함한다.</t>
  </si>
  <si>
    <t>{'word': '비트는 동작', 'start_idx': 26, 'end_idx': 31, 'type': 'POH'}</t>
  </si>
  <si>
    <t>소극적인 행동을 배제하고 상해 사고를 사전에 막기 위하여 대개 다음과 같은 규제를 둔다.</t>
  </si>
  <si>
    <t>{'word': '상해 사고', 'start_idx': 14, 'end_idx': 18, 'type': 'POH'}</t>
  </si>
  <si>
    <t>{'word': '소극적인 행동', 'start_idx': 0, 'end_idx': 6, 'type': 'POH'}</t>
  </si>
  <si>
    <t>파5은 파를 하려면 홀컵에 5번만에 들어가야 하는홀을 말한다.</t>
  </si>
  <si>
    <t>보충 그립은 상대적으로 두꺼운 그립으로 손잡이 부분의 굵기를 늘리기 위해 주로 사용된다.</t>
  </si>
  <si>
    <t>{'word': '두꺼운 그립', 'start_idx': 13, 'end_idx': 18, 'type': 'POH'}</t>
  </si>
  <si>
    <t>{'word': '손잡이', 'start_idx': 22, 'end_idx': 24, 'type': 'POH'}</t>
  </si>
  <si>
    <t>프로들의 경기는 말할 것도 없이, 동호인의 경기에서 조금만 급수가 올라가도 서비스/서비스리턴이 매우 중요하다는 것을 몸소 체험할 수 있다.</t>
  </si>
  <si>
    <t>{'word': '동호인의 경기', 'start_idx': 19, 'end_idx': 25, 'type': 'POH'}</t>
  </si>
  <si>
    <t>{'word': '서비스/서비스리턴', 'start_idx': 42, 'end_idx': 50, 'type': 'POH'}</t>
  </si>
  <si>
    <t>복싱은 크게 프로권투와 아마추어 권투로 나뉜다.</t>
  </si>
  <si>
    <t>{'word': '프로권투', 'start_idx': 7, 'end_idx': 10, 'type': 'SPR'}</t>
  </si>
  <si>
    <t>레슬링이라는 단어는 고대 영어의 wǽstlian(비틀다)에서 유래하였다.</t>
  </si>
  <si>
    <t>{'word': 'wǽstlian', 'start_idx': 18, 'end_idx': 25, 'type': 'SPR'}</t>
  </si>
  <si>
    <t>높은 천장에서 줄이 늘어진 고리로 운동을 하는 링 종목은 모든 체조 종목 가운데 가장 많은 힘을 필요로 하고 특히 어깨·팔·손 등을 버티는 골격 근력이 주로 작용하는 것으로 근육에 탄력성을 요구하는 종목이다.</t>
  </si>
  <si>
    <t>{'word': '링 종목', 'start_idx': 26, 'end_idx': 29, 'type': 'SPR'}</t>
  </si>
  <si>
    <t>{'word': '고리', 'start_idx': 15, 'end_idx': 16, 'type': 'EQP'}</t>
  </si>
  <si>
    <t>그러므로 길게 매달려 행하는 기술은 낮은 봉에 방해를 받게 되어 도중에 다른 바로 옮기든가 혹은 다른 기술로 옮길 수밖에 없었다.</t>
  </si>
  <si>
    <t>{'word': '낮은 봉', 'start_idx': 20, 'end_idx': 23, 'type': 'POH'}</t>
  </si>
  <si>
    <t>{'word': '길게 매달려 행하는 기술', 'start_idx': 5, 'end_idx': 17, 'type': 'POH'}</t>
  </si>
  <si>
    <t>그 당시 종목은 철봉, 평행봉, 안마, 링 등의 4개 종목이었으며 남자종목만이 존재하였다.</t>
  </si>
  <si>
    <t>{'word': '남자종목', 'start_idx': 37, 'end_idx': 40, 'type': 'SPR'}</t>
  </si>
  <si>
    <t>{'word': '철봉', 'start_idx': 9, 'end_idx': 10, 'type': 'SPR'}</t>
  </si>
  <si>
    <t>다른 스매시에 비해 상대적으로 파워가 강한 스매싱은 아니다.</t>
  </si>
  <si>
    <t>{'word': '다른 스매시', 'start_idx': 0, 'end_idx': 5, 'type': 'POH'}</t>
  </si>
  <si>
    <t>{'word': '파워가 강한 스매싱', 'start_idx': 17, 'end_idx': 26, 'type': 'POH'}</t>
  </si>
  <si>
    <t>평균 4타로서, 18개 홀 전체의 기본 타수는 4타×18홀＝72타이다.</t>
  </si>
  <si>
    <t>{'word': '18개 홀', 'start_idx': 9, 'end_idx': 13, 'type': 'POH'}</t>
  </si>
  <si>
    <t>{'word': '평균 4타', 'start_idx': 0, 'end_idx': 4, 'type': 'POH'}</t>
  </si>
  <si>
    <t>아마추어 레슬링은 순수한 스포츠로서 자유형과 그레코로만형의 두 가지가 있다.</t>
  </si>
  <si>
    <t>{'word': '아마추어 레슬링', 'start_idx': 0, 'end_idx': 7, 'type': 'SPR'}</t>
  </si>
  <si>
    <t>{'word': '자유형', 'start_idx': 20, 'end_idx': 22, 'type': 'POH'}</t>
  </si>
  <si>
    <t>그 밖에 2년마다 개최되는 하계 유니버시아드 대회의 한 종목으로도 존재한다.</t>
  </si>
  <si>
    <t>{'word': '하계 유니버시아드 대회', 'start_idx': 15, 'end_idx': 26, 'type': 'POH'}</t>
  </si>
  <si>
    <t>{'word': '한 종목', 'start_idx': 29, 'end_idx': 32, 'type': 'POH'}</t>
  </si>
  <si>
    <t>카운터(counter)는 상대의 기술을 되받아 오히려 넘기는 기술.</t>
  </si>
  <si>
    <t>{'word': '카운터', 'start_idx': 0, 'end_idx': 2, 'type': 'POH'}</t>
  </si>
  <si>
    <t>{'word': 'counter', 'start_idx': 4, 'end_idx': 10, 'type': 'POH'}</t>
  </si>
  <si>
    <t>푸시는 네트 앞에서 어중간하게 뜬 공을 짧고 간결하게 임팩트를 주어 상대방이 타구한 셔틀을 빠르게 반구하는 방법이다.</t>
  </si>
  <si>
    <t>{'word': '네트', 'start_idx': 4, 'end_idx': 5, 'type': 'EQP'}</t>
  </si>
  <si>
    <t>배드민턴은 1992년 하계 올림픽부터 올림픽 정식 종목으로 채택되었다.</t>
  </si>
  <si>
    <t>{'word': '1992년 하계 올림픽', 'start_idx': 6, 'end_idx': 17, 'type': 'DAT'}</t>
  </si>
  <si>
    <t>그들은 원산 바닷가의 세관 구내에서 6홀의 코스를 만들어 놓고 골프를 즐겼는데, 이것은 훗날 1927년 서울 컨트리 클럽의 기초가 마련되기도 했다.</t>
  </si>
  <si>
    <t>{'word': '서울 컨트리 클럽', 'start_idx': 58, 'end_idx': 66, 'type': 'LOC'}</t>
  </si>
  <si>
    <t>{'word': '원산', 'start_idx': 4, 'end_idx': 5, 'type': 'LOC'}</t>
  </si>
  <si>
    <t>심판과 채점은 4-6명으로 구성하며 보통 주심 1명, 심판원 4명이 일반적이다.</t>
  </si>
  <si>
    <t>{'word': '심판원', 'start_idx': 30, 'end_idx': 32, 'type': 'POH'}</t>
  </si>
  <si>
    <t>{'word': '주심', 'start_idx': 23, 'end_idx': 24, 'type': 'POH'}</t>
  </si>
  <si>
    <t>지역 기구로는 동양태평양복싱연맹(OPBF), 범아시아복싱협회(PABA), IBF 아시아, WBO 아시아퍼시픽, 북미복싱협회(NABA), 전미복싱협회(USBA), 북미복싱연맹(NABF), 북미복싱기구(NABO), 중미카리브해복싱연맹(FECARBOX), 남미복싱연맹(FESUBOX), 범아프리카복싱협회(PAFBA), 유럽복싱연합(EBU)이 있다.</t>
  </si>
  <si>
    <t>{'word': '동양태평양복싱연맹', 'start_idx': 8, 'end_idx': 16, 'type': 'ORG'}</t>
  </si>
  <si>
    <t>{'word': 'OPBF', 'start_idx': 18, 'end_idx': 21, 'type': 'ORG'}</t>
  </si>
  <si>
    <t>선수는 14개 이내의 골프채를 사용해야 한다. 클럽을 보충하거나 바꾸기 위해서는 어느 누구에게서나 빌릴 수 있지만, 남은 라운드 동안에는 그 선수만이 사용 가능하다.</t>
  </si>
  <si>
    <t>{'word': '클럽', 'start_idx': 26, 'end_idx': 27, 'type': 'EQP'}</t>
  </si>
  <si>
    <t>{'word': '골프채', 'start_idx': 12, 'end_idx': 14, 'type': 'EQP'}</t>
  </si>
  <si>
    <t>피닉스(phoenix)는 파보다 6타 적은 타수를 말한다.</t>
  </si>
  <si>
    <t>{'word': '타수', 'start_idx': 24, 'end_idx': 25, 'type': 'SPR'}</t>
  </si>
  <si>
    <t>{'word': '피닉스', 'start_idx': 0, 'end_idx': 2, 'type': 'SPR'}</t>
  </si>
  <si>
    <t>원피스의 러닝셔츠를 착용하며, 하반신에는 서포터를 입는다.</t>
  </si>
  <si>
    <t>{'word': '러닝셔츠', 'start_idx': 5, 'end_idx': 8, 'type': 'EQP'}</t>
  </si>
  <si>
    <t>{'word': '서포터', 'start_idx': 23, 'end_idx': 25, 'type': 'EQP'}</t>
  </si>
  <si>
    <t>탄창의 탄을 모두 소비한 경우에도 표적을 모두 맞추지 못한 경우 수동으로 탄을 장전해 사격하며, 예비탄환을 모두 소비한 이후에도 표적을 모두 맞추지 못한 경우 맞추지 못한 표적 당 150m를 추가로 주행하여야 한다.</t>
  </si>
  <si>
    <t>{'word': '탄창', 'start_idx': 0, 'end_idx': 1, 'type': 'EQP'}</t>
  </si>
  <si>
    <t>{'word': '표적', 'start_idx': 19, 'end_idx': 20, 'type': 'POH'}</t>
  </si>
  <si>
    <t>도로자전거 경기는 1868년 처음으로 조직된 스포츠로 시작되었는데 최초의 세계 선수권 대회는 1893년 개최되었으며, 싸이클링은 1896년 아테네에서 현대 올림픽이 시작된 이후 계속 올림픽대회의 종목이 되었다.</t>
  </si>
  <si>
    <t>{'word': '도로자전거 경기', 'start_idx': 0, 'end_idx': 7, 'type': 'SPR'}</t>
  </si>
  <si>
    <t>{'word': '1868년', 'start_idx': 10, 'end_idx': 14, 'type': 'DAT'}</t>
  </si>
  <si>
    <t>구성과 운동에서 불필요한 반복, 재주 넘기의 거리가 먼 도움닫기는 피해야하며 정지기술은 2회까지 허용되며 시간은 2초로 정하고 있다.</t>
  </si>
  <si>
    <t>{'word': '도움닫기', 'start_idx': 31, 'end_idx': 34, 'type': 'POH'}</t>
  </si>
  <si>
    <t>{'word': '정지기술', 'start_idx': 43, 'end_idx': 46, 'type': 'POH'}</t>
  </si>
  <si>
    <t>경기시간은 1라운드(R)3분이며,헤드기어와 런닝셔츠를 착용하는 아마추어와는 달리 상의를 탈의하고 트렁크(Trunk,운동선수가 착용하는 팬티)를 착용한다.</t>
  </si>
  <si>
    <t>{'word': '헤드기어', 'start_idx': 18, 'end_idx': 21, 'type': 'EQP'}</t>
  </si>
  <si>
    <t>{'word': '트렁크', 'start_idx': 54, 'end_idx': 56, 'type': 'EQP'}</t>
  </si>
  <si>
    <t>롱서브는 셔틀콕을 상대방 롱 서비스 라인에 최대한 근접하도록 타구하는 방법이다.</t>
  </si>
  <si>
    <t>{'word': '롱 서비스 라인', 'start_idx': 14, 'end_idx': 21, 'type': 'POH'}</t>
  </si>
  <si>
    <t>{'word': '셔틀콕', 'start_idx': 5, 'end_idx': 7, 'type': 'EQP'}</t>
  </si>
  <si>
    <t>공의 움직임에 영향을 줄 만한 그 어떤 이물질도 골프채에 붙일 수 없다.</t>
  </si>
  <si>
    <t>{'word': '골프채', 'start_idx': 27, 'end_idx': 29, 'type': 'EQP'}</t>
  </si>
  <si>
    <t>{'word': '이물질', 'start_idx': 22, 'end_idx': 24, 'type': 'POH'}</t>
  </si>
  <si>
    <t>대한민국에 골프가 처음 전해진 것은 1900년으로, 고종 황실의 고문으로 온 영국인들에 의해서였다.</t>
  </si>
  <si>
    <t>{'word': '골프', 'start_idx': 6, 'end_idx': 7, 'type': 'SPR'}</t>
  </si>
  <si>
    <t>영국의 바스 배드민턴 클럽(The Bath Badminton Club)은 표준화된 배드민턴의 규정을 제정하고, 영국의 실정에 맞게 경기를 부분적으로 수정하였다.</t>
  </si>
  <si>
    <t>{'word': '바스 배드민턴 클럽', 'start_idx': 4, 'end_idx': 13, 'type': 'ORG'}</t>
  </si>
  <si>
    <t>{'word': 'The Bath Badminton Club', 'start_idx': 15, 'end_idx': 37, 'type': 'ORG'}</t>
  </si>
  <si>
    <t>셔틀콕은 바람의 영향을 많이 받으므로 공식적인 배드민턴 경기는 모두 실내에서만 열린다. 그러나 일상적인 놀이 목적의 경기는 야외에서 이루어지기도 한다.</t>
  </si>
  <si>
    <t>{'word': '배드민턴 경기', 'start_idx': 26, 'end_idx': 32, 'type': 'SPR'}</t>
  </si>
  <si>
    <t>코스를 더욱 엄선하기 위해, 경주는 힘든 오르막 구간, 빠른 내려오기, 때로는 기술적인 노면(파리-루베이 경기의 자갈길같은) 힘든 구간을 포함시킨다.</t>
  </si>
  <si>
    <t>{'word': '힘든 구간', 'start_idx': 70, 'end_idx': 74, 'type': 'POH'}</t>
  </si>
  <si>
    <t>{'word': '기술적인 노면', 'start_idx': 44, 'end_idx': 50, 'type': 'POH'}</t>
  </si>
  <si>
    <t>우리나라에서는 2015년 9월 15일~9월 20일에 VICTOR 코리아오픈 슈퍼시리즈(Level 3), 2015년 11월 3일~8일에 VICTOR 코리아마스터즈 그랑프리 오픈을 개최하였다(Level 4).</t>
  </si>
  <si>
    <t>{'word': 'VICTOR 코리아오픈 슈퍼시리즈', 'start_idx': 29, 'end_idx': 46, 'type': 'POH'}</t>
  </si>
  <si>
    <t>{'word': '우리나라', 'start_idx': 0, 'end_idx': 3, 'type': 'LOC'}</t>
  </si>
  <si>
    <t>세계적으로 가장 유명하고 권위있는 대회 세개를 합쳐 &amp;quot;그랜드 투어&amp;quot;라 부른다.</t>
  </si>
  <si>
    <t>{'word': '가장 유명하고 권위있는 대회', 'start_idx': 6, 'end_idx': 20, 'type': 'POH'}</t>
  </si>
  <si>
    <t>{'word': '그랜드 투어', 'start_idx': 30, 'end_idx': 35, 'type': 'POH'}</t>
  </si>
  <si>
    <t>위에 소개한 스매싱은 온몸을 사용하는 풀(full)스매싱이라고 할 수 있다.</t>
  </si>
  <si>
    <t>{'word': '스매싱', 'start_idx': 7, 'end_idx': 9, 'type': 'POH'}</t>
  </si>
  <si>
    <t>{'word': '풀(full)스매싱', 'start_idx': 21, 'end_idx': 30, 'type': 'POH'}</t>
  </si>
  <si>
    <t>올림픽에서는 20km, 10km와 7.5km를 4명이 계주하는데, 코스 도중의 사격에서는 서서 쏴, 엎드려 쏴를 번갈아 5발씩 쏜다.</t>
  </si>
  <si>
    <t>{'word': '코스 도중의 사격', 'start_idx': 37, 'end_idx': 45, 'type': 'SPR'}</t>
  </si>
  <si>
    <t>{'word': '서서 쏴', 'start_idx': 50, 'end_idx': 53, 'type': 'SPR'}</t>
  </si>
  <si>
    <t>양 선수 또는 양 팀이 서로 상대의 코트로 셔틀콕을 쳐서 넘기면서 랠리를 하게 되며, 셔틀콕이 땅에 떨어지는 순간 포인트가 끝나게 된다.</t>
  </si>
  <si>
    <t>{'word': '상대의 코트', 'start_idx': 16, 'end_idx': 21, 'type': 'EQP'}</t>
  </si>
  <si>
    <t>공격 선수의 기술을 고의로 방해하는 행위.</t>
  </si>
  <si>
    <t>{'word': '기술', 'start_idx': 7, 'end_idx': 8, 'type': 'POH'}</t>
  </si>
  <si>
    <t>{'word': '공격 선수', 'start_idx': 0, 'end_idx': 4, 'type': 'POH'}</t>
  </si>
  <si>
    <t>#종목별 결승 경기는 각 종목의 상위 8명 참가. 올림픽에서는 제외된다.</t>
  </si>
  <si>
    <t>{'word': '올림픽', 'start_idx': 28, 'end_idx': 30, 'type': 'POH'}</t>
  </si>
  <si>
    <t>{'word': '종목별 결승 경기', 'start_idx': 1, 'end_idx': 9, 'type': 'POH'}</t>
  </si>
  <si>
    <t>홀인원(hole in one)은 티샷이 그대로 홀에 들어가는 경우를 가리킨다.</t>
  </si>
  <si>
    <t>{'word': '홀인원', 'start_idx': 0, 'end_idx': 2, 'type': 'POH'}</t>
  </si>
  <si>
    <t>{'word': '티샷', 'start_idx': 18, 'end_idx': 19, 'type': 'POH'}</t>
  </si>
  <si>
    <t>티는 티잉 그라운드(te­eing ground)를 줄인 말로, 각 홀에서 첫 번째로 공을 치는 출발 지역.</t>
  </si>
  <si>
    <t>{'word': '티잉 그라운드', 'start_idx': 3, 'end_idx': 9, 'type': 'POH'}</t>
  </si>
  <si>
    <t>{'word': '공', 'start_idx': 47, 'end_idx': 47, 'type': 'EQP'}</t>
  </si>
  <si>
    <t>마라톤 경기는 뛰어야 하는 거리가 같다 해도 대회마다, 장소마다 똑같을 수 없기 때문에 '신기록'이라는 용어는 쓰지 않는다.</t>
  </si>
  <si>
    <t>{'word': '마라톤 경기', 'start_idx': 0, 'end_idx': 5, 'type': 'SPR'}</t>
  </si>
  <si>
    <t>{'word': '신기록', 'start_idx': 50, 'end_idx': 52, 'type': 'POH'}</t>
  </si>
  <si>
    <t>연기 시간은 개인 경기는 90초, 단체 경기는 150초.</t>
  </si>
  <si>
    <t>{'word': '단체 경기', 'start_idx': 19, 'end_idx': 23, 'type': 'POH'}</t>
  </si>
  <si>
    <t>{'word': '개인 경기', 'start_idx': 7, 'end_idx': 11, 'type': 'POH'}</t>
  </si>
  <si>
    <t>셔틀콕(또는 셔틀)은 가죽을 씌운 코르크에 깃털을 박은 원뿔 형태의 것으로, 특수한 공기역학적 성질 때문에 다른 라켓 스포츠에서 사용되는 일반적인 공과는 전혀 다른 비행 궤도를 갖는다.</t>
  </si>
  <si>
    <t>{'word': '라켓 스포츠', 'start_idx': 63, 'end_idx': 68, 'type': 'SPR'}</t>
  </si>
  <si>
    <t>스탠딩 레슬링(standing wrestling)은 선 채로 서로간에 기술을 구사하는 상태를 이르는 말.</t>
  </si>
  <si>
    <t>{'word': 'standing wrestling', 'start_idx': 8, 'end_idx': 25, 'type': 'SPR'}</t>
  </si>
  <si>
    <t>{'word': '스탠딩 레슬링', 'start_idx': 0, 'end_idx': 6, 'type': 'SPR'}</t>
  </si>
  <si>
    <t>맨손체조는 시간이나 장소·용구에 제한을 받지 않고 언제, 어디서든 개인이 신체가용범위를 고려해 쉽게 진행할 수 있으며 또는 집단이 음악이나 구령에 맞추어 율동적으로 손쉽게 할 수 있다.</t>
  </si>
  <si>
    <t>{'word': '맨손체조', 'start_idx': 0, 'end_idx': 3, 'type': 'SPR'}</t>
  </si>
  <si>
    <t>{'word': '음악', 'start_idx': 73, 'end_idx': 74, 'type': 'POH'}</t>
  </si>
  <si>
    <t>생활이 진보되고 문화가 발전함에 따라 스포츠는 끊임없이 시대적 요청에 부응하여 그 시대의 문화를 반영하여 왔다.</t>
  </si>
  <si>
    <t>{'word': '문화', 'start_idx': 50, 'end_idx': 51, 'type': 'POH'}</t>
  </si>
  <si>
    <t>{'word': '스포츠', 'start_idx': 21, 'end_idx': 23, 'type': 'SPR'}</t>
  </si>
  <si>
    <t>여기서 서브권 결정이란 첫 서브를 자신이 시작할지 상대방이 시작할지 결정하는 것을 말하며, 무조건 자신이 서브를 먼저 시작하게 되는 것을 뜻하지 않는다.</t>
  </si>
  <si>
    <t>{'word': '서브', 'start_idx': 15, 'end_idx': 16, 'type': 'POH'}</t>
  </si>
  <si>
    <t>{'word': '서브권', 'start_idx': 4, 'end_idx': 6, 'type': 'POH'}</t>
  </si>
  <si>
    <t>이러한 변형된 형태의 놀이는 인도의 영국군 주둔지였던 푸나에서 특히 인기 있었는데, 이것이 훗날 '푸나'(Poona)라는 이름으로 알려지게 되었다.</t>
  </si>
  <si>
    <t>{'word': '인도의 영국군 주둔지', 'start_idx': 16, 'end_idx': 26, 'type': 'LOC'}</t>
  </si>
  <si>
    <t>{'word': '변형된 형태의 놀이', 'start_idx': 4, 'end_idx': 13, 'type': 'POH'}</t>
  </si>
  <si>
    <t>또한 안정된 착지 자세가 매우 중요하다. 달리는 힘, 뛰어오르는 힘을 기를 수 있고, 순발력·민첩성·조정력이 향상된다.</t>
  </si>
  <si>
    <t>{'word': '순발력', 'start_idx': 48, 'end_idx': 50, 'type': 'POH'}</t>
  </si>
  <si>
    <t>{'word': '안정된 착지 자세', 'start_idx': 3, 'end_idx': 11, 'type': 'POH'}</t>
  </si>
  <si>
    <t>마루의 넓이를 충분히 사용할 수 있도록 구성하되, 불필요한 반복이나 뜀뛰기 기량, 재주넘기 전의 긴 도움닫기는 피하도록 하며, 연기 시간은 60-90초 이내이다.</t>
  </si>
  <si>
    <t>{'word': '도움닫기', 'start_idx': 56, 'end_idx': 59, 'type': 'POH'}</t>
  </si>
  <si>
    <t>골프는 과거 일부 부유층의 전유물인 귀족 스포츠라는 인식이 깊었으나, 1990년대 후반 들어 박세리 선수가 세계적인 선수로 활약하면서 점차 대중적인 스포츠로 발돋움하기 시작했다.</t>
  </si>
  <si>
    <t>{'word': '박세리 선수', 'start_idx': 52, 'end_idx': 57, 'type': 'PER'}</t>
  </si>
  <si>
    <t>링체조는 링이 전혀 흔들리지 않는 정지된 상태에서 연기를 해야 한다.</t>
  </si>
  <si>
    <t>{'word': '링체조', 'start_idx': 0, 'end_idx': 2, 'type': 'SPR'}</t>
  </si>
  <si>
    <t>{'word': '링', 'start_idx': 5, 'end_idx': 5, 'type': 'EQP'}</t>
  </si>
  <si>
    <t>여자의 연기는 예술적인 뜀뛰기, 무용적인 움직임, 스텝, 회전 기량, 재주넘기를 섞어서 구성하여야 한다.</t>
  </si>
  <si>
    <t>{'word': '여자의 연기', 'start_idx': 0, 'end_idx': 5, 'type': 'SPR'}</t>
  </si>
  <si>
    <t>{'word': '무용적인 움직임', 'start_idx': 18, 'end_idx': 25, 'type': 'POH'}</t>
  </si>
  <si>
    <t>수렵의 성공을 기원하기 위해 재주를 넘거나 어린이들의 유희를 통해서 즐기는 일, 혹은 공중의 무용수나 곡예사가 그 동작을 행하는 등에서 운동의 형태가 분화되어 발전하여 왔다고 볼 수 있다.</t>
  </si>
  <si>
    <t>{'word': '재주', 'start_idx': 16, 'end_idx': 17, 'type': 'POH'}</t>
  </si>
  <si>
    <t>{'word': '운동의 형태', 'start_idx': 76, 'end_idx': 81, 'type': 'POH'}</t>
  </si>
  <si>
    <t>마라톤 경기는 일반적으로 포장된 도로, 즉 아스팔트 도로에서 마라톤을 한다.</t>
  </si>
  <si>
    <t>{'word': '마라톤', 'start_idx': 34, 'end_idx': 36, 'type': 'SPR'}</t>
  </si>
  <si>
    <t>{'word': '아스팔트 도로', 'start_idx': 24, 'end_idx': 30, 'type': 'EQP'}</t>
  </si>
  <si>
    <t>앨버트로스(albatross)는 한 홀에서 기준 타수보다 3타수 적게 홀인하는 일을 말한다.</t>
  </si>
  <si>
    <t>{'word': '앨버트로스', 'start_idx': 0, 'end_idx': 4, 'type': 'POH'}</t>
  </si>
  <si>
    <t>{'word': 'albatross', 'start_idx': 6, 'end_idx': 14, 'type': 'POH'}</t>
  </si>
  <si>
    <t>힘기와 버티기 동작을 해서는 안 된다.</t>
  </si>
  <si>
    <t>{'word': '힘기', 'start_idx': 0, 'end_idx': 1, 'type': 'SPR'}</t>
  </si>
  <si>
    <t>{'word': '버티기 동작', 'start_idx': 4, 'end_idx': 9, 'type': 'SPR'}</t>
  </si>
  <si>
    <t>골프 코스는 따로 정해진 규격 없이 고유한 디자인과 지형에 따라 다양한 모습을 가지고 있으며 넓은 면적이 필요한 것이 특징이다.</t>
  </si>
  <si>
    <t>{'word': '넓은 면적', 'start_idx': 52, 'end_idx': 56, 'type': 'POH'}</t>
  </si>
  <si>
    <t>나이·성별·체력 정도에 따라 운동량도 자유롭게 조절할 수 있다.</t>
  </si>
  <si>
    <t>{'word': '나이', 'start_idx': 0, 'end_idx': 1, 'type': 'POH'}</t>
  </si>
  <si>
    <t>{'word': '운동량', 'start_idx': 16, 'end_idx': 18, 'type': 'POH'}</t>
  </si>
  <si>
    <t>경기시에 유의해야 할 사항은 진동기와 양 손을 봉에서 놓으며 행하는 기술과 정지기술이 포함되어야 하며, 힘으로 표현되는 기술이 포함되면 좋다.</t>
  </si>
  <si>
    <t>{'word': '정지기술', 'start_idx': 42, 'end_idx': 45, 'type': 'POH'}</t>
  </si>
  <si>
    <t>이 경우의 채점에서 주심은 제외되며, 4명의 심판원 중 최고점과 최하점을 제외한 나머지 득점수의 평균점으로 결정한다.</t>
  </si>
  <si>
    <t>{'word': '4명의 심판원', 'start_idx': 21, 'end_idx': 27, 'type': 'POH'}</t>
  </si>
  <si>
    <t>{'word': '주심', 'start_idx': 11, 'end_idx': 12, 'type': 'POH'}</t>
  </si>
  <si>
    <t>서브(서비스)는 서버가 리시버에게 셔틀을 타구하는것을 말한다.</t>
  </si>
  <si>
    <t>{'word': '리시버', 'start_idx': 13, 'end_idx': 15, 'type': 'POH'}</t>
  </si>
  <si>
    <t>그 후 1892년 글러브를 끼고, 1라운드는 3분, 휴식은 1분으로 하며, 다운이 되어 10초 이내에 일어 나지 못하면 상대편의 승리로 인정하는 퀸스베리 규칙(Queens Berry'S rule)이 제정되었다.</t>
  </si>
  <si>
    <t>{'word': '퀸스베리 규칙', 'start_idx': 81, 'end_idx': 87, 'type': 'POH'}</t>
  </si>
  <si>
    <t>{'word': '1892년', 'start_idx': 4, 'end_idx': 8, 'type': 'DAT'}</t>
  </si>
  <si>
    <t>현재 국제 경기에서 사용하고 있는 2개의 링은 바닥에서 5.5m 높이에서 늘어져 있는 가죽끈에 매달려 있는데, 링 자체의 높이는 마루에서 2.5m이고 링 사이의 간격은 50cm으로서 국제체조연맹에서 공인규격으로 인정한 것이다.</t>
  </si>
  <si>
    <t>{'word': '국제 경기', 'start_idx': 3, 'end_idx': 7, 'type': 'POH'}</t>
  </si>
  <si>
    <t>{'word': '국제체조연맹', 'start_idx': 102, 'end_idx': 107, 'type': 'ORG'}</t>
  </si>
  <si>
    <t>또는 스매시의 속도차를 이용하여 상대방의 수비 타이밍을 뺏을 수도 있고, 애초에 손목을 이용하여 타구하는 방법이기 때문에 상대방이 예상하지 못한 코스로 타구하여 실책을 유발시키고 싶을 때도 반스매싱을 사용한다.</t>
  </si>
  <si>
    <t>{'word': '손목', 'start_idx': 45, 'end_idx': 46, 'type': 'POH'}</t>
  </si>
  <si>
    <t>{'word': '스매시', 'start_idx': 3, 'end_idx': 5, 'type': 'POH'}</t>
  </si>
  <si>
    <t>국내에는 한국권투위원회(KBC), 한국프로복싱연맹(KPBF), 한국권투협회(KBA), 한국권투연맹(KBF)의 복싱 기구가 있다.</t>
  </si>
  <si>
    <t>{'word': '한국권투위원회', 'start_idx': 5, 'end_idx': 11, 'type': 'ORG'}</t>
  </si>
  <si>
    <t>{'word': '한국권투연맹', 'start_idx': 48, 'end_idx': 53, 'type': 'ORG'}</t>
  </si>
  <si>
    <t>다른 수영 방법들은 물을 보고 수영을 하는데 배영은 천장을 달려있는 깃발을 보고 하는 것이다.</t>
  </si>
  <si>
    <t>{'word': '배영', 'start_idx': 25, 'end_idx': 26, 'type': 'SPR'}</t>
  </si>
  <si>
    <t>{'word': '천장을 달려있는 깃발', 'start_idx': 29, 'end_idx': 39, 'type': 'EQP'}</t>
  </si>
  <si>
    <t>상대편은 서브권과 코트 위치 중 남은 것을 결정할 권리를 갖는다.</t>
  </si>
  <si>
    <t>{'word': '서브권', 'start_idx': 5, 'end_idx': 7, 'type': 'POH'}</t>
  </si>
  <si>
    <t>{'word': '코트 위치', 'start_idx': 10, 'end_idx': 14, 'type': 'POH'}</t>
  </si>
  <si>
    <t>콘도르(condor)는 파보다 4타 적은 타수를 뜻한다.</t>
  </si>
  <si>
    <t>{'word': '콘도르', 'start_idx': 0, 'end_idx': 2, 'type': 'POH'}</t>
  </si>
  <si>
    <t>{'word': 'condor', 'start_idx': 4, 'end_idx': 9, 'type': 'POH'}</t>
  </si>
  <si>
    <t>남자종목은 50~70초로 시간이 제한되고 여자종목은 음악에 맞추어 연기해야 하며, 시간제한이 60~90초로 되어 있다는 점만 제외하고는 서로 비슷하다.</t>
  </si>
  <si>
    <t>{'word': '여자종목', 'start_idx': 23, 'end_idx': 26, 'type': 'SPR'}</t>
  </si>
  <si>
    <t>{'word': '남자종목', 'start_idx': 0, 'end_idx': 3, 'type': 'SPR'}</t>
  </si>
  <si>
    <t>숏 서브는 셔틀콕을 상대방 숏 서비스 라인에 최대한 근접하도록 타구하는 방법이다.</t>
  </si>
  <si>
    <t>{'word': '셔틀콕', 'start_idx': 6, 'end_idx': 8, 'type': 'EQP'}</t>
  </si>
  <si>
    <t>{'word': '숏 서비스 라인', 'start_idx': 15, 'end_idx': 22, 'type': 'POH'}</t>
  </si>
  <si>
    <t>봉 아래에서의 움직임, 봉을 놓았다가 다시 잡기 등도 경기 내용에 반드시 포함된다.</t>
  </si>
  <si>
    <t>{'word': '경기', 'start_idx': 30, 'end_idx': 31, 'type': 'SPR'}</t>
  </si>
  <si>
    <t>#기본 배영(Basic backstroke, Elementary backstroke) 또는 기초 배영은 배영의 하나로 양팔을 몸통을 따라 올리다가 옆으로 뻗어서 허벅지까지 내린다. 수상인명구조원(lifeguard)이 배우는 영법이기도 하다.</t>
  </si>
  <si>
    <t>{'word': '기본 배영', 'start_idx': 1, 'end_idx': 5, 'type': 'SPR'}</t>
  </si>
  <si>
    <t>{'word': '기초 배영', 'start_idx': 51, 'end_idx': 55, 'type': 'SPR'}</t>
  </si>
  <si>
    <t>경기내용에 포함되는 운동은 철봉에 매달려 있다가 봉 위로 몸을 들어 올려 지탱하는 업스타트, 물구나무 선 자세에서 팔을 쭉 뻗은 채 몸을 봉 주위로 돌리며 손을 서로 교차시키거나 봉에서 떼었다가 방향을 바꾸는 휘돌기, 양손을 봉에서 떼어 봉 위로 도약했다가 다시 봉을 잡는 운동 등이다.</t>
  </si>
  <si>
    <t>{'word': '철봉', 'start_idx': 15, 'end_idx': 16, 'type': 'EQP'}</t>
  </si>
  <si>
    <t>반스매싱을 구사하는 경우는 주로 공격권이 상대에게 넘어갈 것 같은 상황에서 그 공격권을 우리가 계속 가져오도록 하고 싶은 경우에 구사한다.</t>
  </si>
  <si>
    <t>{'word': '공격권', 'start_idx': 18, 'end_idx': 20, 'type': 'POH'}</t>
  </si>
  <si>
    <t>{'word': '반스매싱', 'start_idx': 0, 'end_idx': 3, 'type': 'POH'}</t>
  </si>
  <si>
    <t>보디 프레스(body press)는 체중을 이용하여 상대방을 눌러서 폴을 얻어내는 기술. '몸굳히기'라고도 한다.</t>
  </si>
  <si>
    <t>{'word': '몸굳히기', 'start_idx': 51, 'end_idx': 54, 'type': 'POH'}</t>
  </si>
  <si>
    <t>{'word': '보디 프레스', 'start_idx': 0, 'end_idx': 5, 'type': 'POH'}</t>
  </si>
  <si>
    <t>그 외의 경기 규칙은 추적과 동일하다.</t>
  </si>
  <si>
    <t>{'word': '추적', 'start_idx': 12, 'end_idx': 13, 'type': 'SPR'}</t>
  </si>
  <si>
    <t>{'word': '경기 규칙', 'start_idx': 5, 'end_idx': 9, 'type': 'POH'}</t>
  </si>
  <si>
    <t>hyduck</t>
  </si>
  <si>
    <t>표적 경기는 양궁 종목 중에서 국제연맹이 제일 먼저 공인한 종목이다.</t>
  </si>
  <si>
    <t>{'word': '양궁 종목', 'start_idx': 7, 'end_idx': 11, 'type': 'SPR-SUB'}</t>
  </si>
  <si>
    <t>{'word': '표적 경기', 'start_idx': 0, 'end_idx': 4, 'type': 'SPR-OBJ'}</t>
  </si>
  <si>
    <t>{'word': '조선민속씨름 협회클럽', 'start_idx': 5, 'end_idx': 15, 'type': 'ORG-SUB'}</t>
  </si>
  <si>
    <t>{'word': '증평인삼배대회', 'start_idx': 103, 'end_idx': 109, 'type': 'POH-OBJ'}</t>
  </si>
  <si>
    <t>{'word': '용상', 'start_idx': 0, 'end_idx': 1, 'type': 'SPR-SUB'}</t>
  </si>
  <si>
    <t>{'word': '바벨', 'start_idx': 45, 'end_idx': 46, 'type': 'EQP-OBJ'}</t>
  </si>
  <si>
    <t>{'word': '1910년', 'start_idx': 0, 'end_idx': 4, 'type': 'DAT-SUB'}</t>
  </si>
  <si>
    <t>{'word': '유럽선수권대회', 'start_idx': 10, 'end_idx': 16, 'type': 'POH-OBJ'}</t>
  </si>
  <si>
    <t>{'word': '아이스하키', 'start_idx': 0, 'end_idx': 4, 'type': 'SPR-SUB'}</t>
  </si>
  <si>
    <t>{'word': '골키퍼', 'start_idx': 12, 'end_idx': 14, 'type': 'POH-OBJ'}</t>
  </si>
  <si>
    <t>또한 단거리 종목인 500m 종목에서도 모태범이 금메달을 획득함으로써 한국 스피드스케이팅 전망을 밝게 하고 있다.</t>
  </si>
  <si>
    <t>{'word': '스피드스케이팅', 'start_idx': 42, 'end_idx': 48, 'type': 'SPR-SUB'}</t>
  </si>
  <si>
    <t>{'word': '모태범', 'start_idx': 22, 'end_idx': 24, 'type': 'PER-OBJ'}</t>
  </si>
  <si>
    <t>유도의 굳히기 기술에는 누르기 기술, 조르기 기술, 꺾기 기술이 있다.</t>
  </si>
  <si>
    <t>{'word': '유도', 'start_idx': 0, 'end_idx': 1, 'type': 'SPR-SUB'}</t>
  </si>
  <si>
    <t>{'word': '누르기', 'start_idx': 13, 'end_idx': 15, 'type': 'POH-OBJ'}</t>
  </si>
  <si>
    <t>{'word': '다른 선수에게 어떤 도움을 주는 것', 'start_idx': 21, 'end_idx': 39, 'type': 'POH-SUB'}</t>
  </si>
  <si>
    <t>{'word': '어시스턴스', 'start_idx': 42, 'end_idx': 46, 'type': 'POH-OBJ'}</t>
  </si>
  <si>
    <t>인상에서는 들어 올린 바벨은 심판이 심봉을 경기대에 내려놓으라는 신호를 보낼 때까지는 팔과 다리가 쭉 펴지고 발이 동일선상에 있는 상태에서 최종적으로 부동자세를 유지해야 한다.</t>
  </si>
  <si>
    <t>{'word': '인상', 'start_idx': 0, 'end_idx': 1, 'type': 'SPR-SUB'}</t>
  </si>
  <si>
    <t>{'word': '부동자세', 'start_idx': 84, 'end_idx': 87, 'type': 'POH-OBJ'}</t>
  </si>
  <si>
    <t>에페 검의 끝부분은 두개의 그러브 나사로 고정되어 있는데, 이는 가느다란 구멍에 엮여 배럴 한쪽에 위치해 있다. 그러브 나사는 검의 끝부분을 지지해주며, 자유로운 동작을 가능케 해준다.</t>
  </si>
  <si>
    <t>{'word': '그러브 나사', 'start_idx': 63, 'end_idx': 68, 'type': 'EQP-SUB'}</t>
  </si>
  <si>
    <t>{'word': '에페 검', 'start_idx': 0, 'end_idx': 3, 'type': 'EQP-OBJ'}</t>
  </si>
  <si>
    <t>에페(Epee)는 현대의 결투 검들 중 하나로, 스몰소드 (레이피어의 변형 검으로, 펜싱에 사용)이다.</t>
  </si>
  <si>
    <t>{'word': '에페', 'start_idx': 0, 'end_idx': 1, 'type': 'EQP-SUB'}</t>
  </si>
  <si>
    <t>{'word': '스몰소드', 'start_idx': 27, 'end_idx': 30, 'type': 'EQP-OBJ'}</t>
  </si>
  <si>
    <t>{'word': '탄환', 'start_idx': 17, 'end_idx': 18, 'type': 'EQP-SUB'}</t>
  </si>
  <si>
    <t>{'word': '총신', 'start_idx': 67, 'end_idx': 68, 'type': 'POH-OBJ'}</t>
  </si>
  <si>
    <t>{'word': '한국민속씨름 협회', 'start_idx': 0, 'end_idx': 8, 'type': 'ORG-SUB'}</t>
  </si>
  <si>
    <t>{'word': '지역장사씨름대회', 'start_idx': 25, 'end_idx': 32, 'type': 'POH-OBJ'}</t>
  </si>
  <si>
    <t>{'word': '역도', 'start_idx': 0, 'end_idx': 1, 'type': 'SPR-SUB'}</t>
  </si>
  <si>
    <t>{'word': '1920년', 'start_idx': 43, 'end_idx': 47, 'type': 'DAT-OBJ'}</t>
  </si>
  <si>
    <t>쇼트트랙의 스케이트화는 빙판과 마찰을 줄이기 위해 중심부가 볼록하다.</t>
  </si>
  <si>
    <t>{'word': '쇼트트랙', 'start_idx': 0, 'end_idx': 3, 'type': 'SPR-SUB'}</t>
  </si>
  <si>
    <t>{'word': '스케이트화', 'start_idx': 6, 'end_idx': 10, 'type': 'EQP-OBJ'}</t>
  </si>
  <si>
    <t>에페를 사용하는 펜싱에서는 상당한 인내심과 정확도 스피드가 요구된다.</t>
  </si>
  <si>
    <t>{'word': '펜싱', 'start_idx': 9, 'end_idx': 10, 'type': 'SPR-SUB'}</t>
  </si>
  <si>
    <t>{'word': '에페', 'start_idx': 0, 'end_idx': 1, 'type': 'EQP-OBJ'}</t>
  </si>
  <si>
    <t>{'word': '회전경기', 'start_idx': 0, 'end_idx': 3, 'type': 'SPR-SUB'}</t>
  </si>
  <si>
    <t>{'word': '대회전', 'start_idx': 10, 'end_idx': 12, 'type': 'SPR-OBJ'}</t>
  </si>
  <si>
    <t>유도의 금지 기술에는 가위치기 KBA - 메치기 기술 (모로 누우며 메치기 기술), 안다리꼬아넘기기 KWA - 메치기 기술 (발 기술), 허리조르기 DOJ - 굳히기 기술 (조르기 기술), 다리얽어비틀기 AGR - 굳히기 기술 (꺾기 기술)가 있다.</t>
  </si>
  <si>
    <t>{'word': '굳히기', 'start_idx': 120, 'end_idx': 122, 'type': 'POH-OBJ'}</t>
  </si>
  <si>
    <t>{'word': '사이클크로스', 'start_idx': 0, 'end_idx': 5, 'type': 'SPR-SUB'}</t>
  </si>
  <si>
    <t>{'word': '자전거', 'start_idx': 11, 'end_idx': 13, 'type': 'EQP-OBJ'}</t>
  </si>
  <si>
    <t>{'word': '사격', 'start_idx': 0, 'end_idx': 1, 'type': 'SPR-SUB'}</t>
  </si>
  <si>
    <t>{'word': '총포', 'start_idx': 16, 'end_idx': 17, 'type': 'EQP-OBJ'}</t>
  </si>
  <si>
    <t>{'word': '가늠자', 'start_idx': 2, 'end_idx': 4, 'type': 'EQP-SUB'}</t>
  </si>
  <si>
    <t>{'word': '계산기', 'start_idx': 123, 'end_idx': 125, 'type': 'EQP-OBJ'}</t>
  </si>
  <si>
    <t>{'word': '활강 경기', 'start_idx': 8, 'end_idx': 12, 'type': 'SPR-SUB'}</t>
  </si>
  <si>
    <t>{'word': '회전 경기', 'start_idx': 19, 'end_idx': 23, 'type': 'SPR-OBJ'}</t>
  </si>
  <si>
    <t>스위스의 사브르는 길고 완만하게 구부러져 있으며 의사도 모양이 많았는데, 같은 시기 독일에 유입된 사브르는 독자적으로 발전해 나갔다.</t>
  </si>
  <si>
    <t>{'word': '사브르', 'start_idx': 5, 'end_idx': 7, 'type': 'SPR-SUB'}</t>
  </si>
  <si>
    <t>{'word': '의사도', 'start_idx': 27, 'end_idx': 29, 'type': 'EQP-OBJ'}</t>
  </si>
  <si>
    <t>그러나 20세기 후반부터 111.12m의 링크를 여러 선수가 한꺼번에 출발하여 순위를 겨루는 경기를 쇼트트랙 스피드 스케이팅이라 부르게 되어 구분할 필요성이 생겼다.</t>
  </si>
  <si>
    <t>{'word': '쇼트트랙 스피드 스케이팅', 'start_idx': 56, 'end_idx': 68, 'type': 'EQP-SUB'}</t>
  </si>
  <si>
    <t>{'word': '링크', 'start_idx': 23, 'end_idx': 24, 'type': 'EQP-OBJ'}</t>
  </si>
  <si>
    <t># 표적 경기는 양궁 종목 중에서 국제연맹이 제일 먼저 공인한 종목이다. 남자는 90m·70m·50m·30m 거리에서 각각 36발씩 모두 144발을 쏜다.</t>
  </si>
  <si>
    <t>{'word': '양궁', 'start_idx': 9, 'end_idx': 10, 'type': 'SPR-SUB'}</t>
  </si>
  <si>
    <t>{'word': '표적', 'start_idx': 2, 'end_idx': 3, 'type': 'SPR-OBJ'}</t>
  </si>
  <si>
    <t>{'word': '인공위성', 'start_idx': 80, 'end_idx': 83, 'type': 'POH-SUB'}</t>
  </si>
  <si>
    <t>{'word': '컴퓨터', 'start_idx': 109, 'end_idx': 111, 'type': 'POH-OBJ'}</t>
  </si>
  <si>
    <t>유도의 발 기술에는 나오는 발차기, 무릎대돌리기, 발목받치기, 밭다리후리기, 안다리후리기, 발뒤축후리기, 안뒤축후리기,</t>
  </si>
  <si>
    <t>{'word': '밭다리후리기', 'start_idx': 35, 'end_idx': 40, 'type': 'POH-OBJ'}</t>
  </si>
  <si>
    <t>미국과 캐나다에서도 스피드 스케이팅 기록이 좋은 선수들이 많다.</t>
  </si>
  <si>
    <t>{'word': '스피드 스케이팅', 'start_idx': 11, 'end_idx': 18, 'type': 'SPR-SUB'}</t>
  </si>
  <si>
    <t>{'word': '미국', 'start_idx': 0, 'end_idx': 1, 'type': 'LOC-OBJ'}</t>
  </si>
  <si>
    <t>{'word': '뉴욕 레인저스', 'start_idx': 32, 'end_idx': 38, 'type': 'ORG-SUB'}</t>
  </si>
  <si>
    <t>{'word': '디트로이트 쿠거스,', 'start_idx': 41, 'end_idx': 50, 'type': 'ORG-OBJ'}</t>
  </si>
  <si>
    <t>현대적인 형태의 아이스하키 경기는 1875년 3월 3일 제임스 크레이튼을 비롯한 맥길 대학교 학생들이 몬트리올의 빅토리아 스케이트 링크에서 시작한 것이 그 시초다.</t>
  </si>
  <si>
    <t>{'word': '아이스하키', 'start_idx': 9, 'end_idx': 13, 'type': 'SPR-SUB'}</t>
  </si>
  <si>
    <t>{'word': '제임스 크레이튼', 'start_idx': 31, 'end_idx': 38, 'type': 'PER-OBJ'}</t>
  </si>
  <si>
    <t>최근에는 첨단 기술이 적극적으로 도입되어, 선수들은 기록 단축을 위해 신소재 경기복을 입고, 얼음을 지칠 때 뒷날굽이 분리되는 클랩 스케이트를 신는다.</t>
  </si>
  <si>
    <t>{'word': '클랩 스케이트', 'start_idx': 71, 'end_idx': 77, 'type': 'EQP-SUB'}</t>
  </si>
  <si>
    <t>{'word': '뒷날굽', 'start_idx': 61, 'end_idx': 63, 'type': 'EQP-OBJ'}</t>
  </si>
  <si>
    <t>19세기 후반부터는 본격적으로 인기를 모으기 시작하여, 경기 연맹인 국제빙상경기연맹이 창설되면서 조직적인 국제 대회가 열리기 시작하였다.</t>
  </si>
  <si>
    <t>{'word': '국제빙상경기연맹', 'start_idx': 38, 'end_idx': 45, 'type': 'ORG-SUB'}</t>
  </si>
  <si>
    <t>{'word': '19세기 후반', 'start_idx': 0, 'end_idx': 6, 'type': 'DAT-OBJ'}</t>
  </si>
  <si>
    <t>유도가(柔道家, 일본어: 柔道家 주도카[*])란 유도를 하는 사람을 말한다. 다만 유도 선수와는 다르게 이미 은퇴한 사람(특히 사범 등)의 호칭으로 쓰이고 있다.</t>
  </si>
  <si>
    <t>{'word': '유도', 'start_idx': 27, 'end_idx': 28, 'type': 'SPR-SUB'}</t>
  </si>
  <si>
    <t>{'word': '유도가', 'start_idx': 0, 'end_idx': 2, 'type': 'POH-OBJ'}</t>
  </si>
  <si>
    <t>{'word': '자반 뒤지기', 'start_idx': 0, 'end_idx': 5, 'type': 'POH-SUB'}</t>
  </si>
  <si>
    <t>{'word': '씨름', 'start_idx': 9, 'end_idx': 10, 'type': 'SPR-OBJ'}</t>
  </si>
  <si>
    <t>{'word': '김홍도', 'start_idx': 0, 'end_idx': 2, 'type': 'PER-SUB'}</t>
  </si>
  <si>
    <t>{'word': '씨름도', 'start_idx': 5, 'end_idx': 7, 'type': 'POH-OBJ'}</t>
  </si>
  <si>
    <t>{'word': '세계선수권대회', 'start_idx': 3, 'end_idx': 9, 'type': 'ORG-SUB'}</t>
  </si>
  <si>
    <t>{'word': '하위팀', 'start_idx': 26, 'end_idx': 28, 'type': 'ORG-OBJ'}</t>
  </si>
  <si>
    <t>{'word': '씨름', 'start_idx': 4, 'end_idx': 5, 'type': 'SPR-SUB'}</t>
  </si>
  <si>
    <t>{'word': '1920년대', 'start_idx': 11, 'end_idx': 16, 'type': 'DAT-OBJ'}</t>
  </si>
  <si>
    <t>{'word': '한국민속씨름 협회', 'start_idx': 41, 'end_idx': 49, 'type': 'ORG-SUB'}</t>
  </si>
  <si>
    <t>{'word': '제1회 천하장사씨름대회', 'start_idx': 99, 'end_idx': 110, 'type': 'POH-OBJ'}</t>
  </si>
  <si>
    <t>{'word': '예천 진호 국제양궁장', 'start_idx': 0, 'end_idx': 10, 'type': 'LOC-SUB'}</t>
  </si>
  <si>
    <t>{'word': '경상북도 예천군', 'start_idx': 13, 'end_idx': 20, 'type': 'LOC-OBJ'}</t>
  </si>
  <si>
    <t>유도 용띠는 아래와 같은 모양을 하고 있다.</t>
  </si>
  <si>
    <t>{'word': '용띠', 'start_idx': 3, 'end_idx': 4, 'type': 'EQP-OBJ'}</t>
  </si>
  <si>
    <t>발사선 이외의 장소에서 활을 당겼을 경우에 반칙이 된다.</t>
  </si>
  <si>
    <t>{'word': '발사선', 'start_idx': 0, 'end_idx': 2, 'type': 'EQP-SUB'}</t>
  </si>
  <si>
    <t>{'word': '활', 'start_idx': 13, 'end_idx': 13, 'type': 'EQP-OBJ'}</t>
  </si>
  <si>
    <t>{'word': '대한민국', 'start_idx': 0, 'end_idx': 3, 'type': 'LOC-SUB'}</t>
  </si>
  <si>
    <t>{'word': '대한아이스하키협회', 'start_idx': 8, 'end_idx': 16, 'type': 'ORG-OBJ'}</t>
  </si>
  <si>
    <t>릴리스는 발사의 마지막 단계로, 화살을 놓는 동작. 양팔의 힘을 균형 있게 분배하여, 앵커링한 손과 줄을 빨리 분리시킨다.</t>
  </si>
  <si>
    <t>{'word': '발사', 'start_idx': 5, 'end_idx': 6, 'type': 'POH-SUB'}</t>
  </si>
  <si>
    <t>{'word': '릴리스', 'start_idx': 0, 'end_idx': 2, 'type': 'POH-OBJ'}</t>
  </si>
  <si>
    <t>{'word': '배지기', 'start_idx': 0, 'end_idx': 2, 'type': 'POH-OBJ'}</t>
  </si>
  <si>
    <t># 본래 경기는 400m의 길이를 가진 타원형의 링크에서 두 명의 선수가 교대로 속도를 겨루는 경기를 스피드 스케이팅이라고 불렀고, 이것이 스피드 스케이팅을 뜻하는 일반적인 말이다. 그러나 20세기 후반부터 111.12m의 링크를 여러 선수가 한꺼번에 출발하여 순위를 겨루는 경기를 쇼트트랙 스피드 스케이팅이라 부르게 되어 구분할 필요성이 생겼다.</t>
  </si>
  <si>
    <t>{'word': '스피드 스케이팅', 'start_idx': 57, 'end_idx': 64, 'type': 'SPR-SUB'}</t>
  </si>
  <si>
    <t>{'word': '타원형의 링크', 'start_idx': 22, 'end_idx': 28, 'type': 'EQP-OBJ'}</t>
  </si>
  <si>
    <t>전라북도 양궁(훈련)장은 전라북도 완주군에 있다.</t>
  </si>
  <si>
    <t>{'word': '전라북도 양궁(훈련)장', 'start_idx': 0, 'end_idx': 11, 'type': 'LOC-SUB'}</t>
  </si>
  <si>
    <t>{'word': '전라북도 완주군', 'start_idx': 14, 'end_idx': 21, 'type': 'LOC-OBJ'}</t>
  </si>
  <si>
    <t>양궁은 표적을 맞혀 그 득점을 겨루는 경기로서 넓은 그라운드를 이용한다.</t>
  </si>
  <si>
    <t>{'word': '양궁', 'start_idx': 0, 'end_idx': 1, 'type': 'EQP-SUB'}</t>
  </si>
  <si>
    <t>{'word': '그라운드', 'start_idx': 29, 'end_idx': 32, 'type': 'EQP-OBJ'}</t>
  </si>
  <si>
    <t>화살을 끼울 때에는 화살의 깃이 활의 안쪽으로 향하도록 시위에 끼운다.</t>
  </si>
  <si>
    <t>{'word': '화살', 'start_idx': 0, 'end_idx': 1, 'type': 'EQP-SUB'}</t>
  </si>
  <si>
    <t>{'word': '깃', 'start_idx': 15, 'end_idx': 15, 'type': 'EQP-OBJ'}</t>
  </si>
  <si>
    <t>표적 경기에서 (7,6,5,3) 36발씩 쏴서 경기하며, 1위와 128위, 2위와 127위가 붙는 방식으로 토너먼트를 한다.</t>
  </si>
  <si>
    <t>{'word': '표적', 'start_idx': 0, 'end_idx': 1, 'type': 'SPR-SUB'}</t>
  </si>
  <si>
    <t>{'word': '토너먼트', 'start_idx': 60, 'end_idx': 63, 'type': 'POH-OBJ'}</t>
  </si>
  <si>
    <t>사브르는 칼날 부분의 3분의 1이 양쪽 날이고, 나머지는 한쪽 날이라는 독특한 특징을 지니고 있다.</t>
  </si>
  <si>
    <t>{'word': '사브르', 'start_idx': 0, 'end_idx': 2, 'type': 'SPR-SUB'}</t>
  </si>
  <si>
    <t>{'word': '칼날', 'start_idx': 5, 'end_idx': 6, 'type': 'EQP-OBJ'}</t>
  </si>
  <si>
    <t>유도의 모로 누우며 메치기 기술에는 옆으로떨어뜨리기, 오금대떨어뜨리기, 허리튀겨감아치기, 바깥감아치기, 모로띄기, 옆으로누우며던지기, 모로돌리기, 모로걸기, 허리안아돌리기, 안쪽감아치기, 밭다리감아치기, 허벅다감아치기, 허리후리기감아치기, 안뒤축감아치기가 있다.</t>
  </si>
  <si>
    <t>{'word': '허리튀겨감아치기', 'start_idx': 40, 'end_idx': 47, 'type': 'POH-OBJ'}</t>
  </si>
  <si>
    <t>{'word': '크로스컨트리', 'start_idx': 0, 'end_idx': 5, 'type': 'SPR-SUB'}</t>
  </si>
  <si>
    <t>{'word': '릴레이', 'start_idx': 18, 'end_idx': 20, 'type': 'SPR-OBJ'}</t>
  </si>
  <si>
    <t>일반적으로 전체 길이는 0.7~1.2미터, 무게는 1.7~2.4킬로그램으로 종류가 다양해 전 세계의 군대에서 사용되었다. 사브르는 칼날뿐만 아니라 다양한 손잡이 모양, 십자형의 가드와 너클 보우 등이 특징이다. 또한 손잡이도 새끼손가락 부분으로 갈수록 곡선형을 이루고 있다.</t>
  </si>
  <si>
    <t>{'word': '사브르', 'start_idx': 68, 'end_idx': 70, 'type': 'SPR-SUB'}</t>
  </si>
  <si>
    <t>{'word': '너클 보우', 'start_idx': 103, 'end_idx': 107, 'type': 'EQP-OBJ'}</t>
  </si>
  <si>
    <t>{'word': '요트', 'start_idx': 0, 'end_idx': 1, 'type': 'SPR-SUB'}</t>
  </si>
  <si>
    <t>{'word': 'Yacht', 'start_idx': 3, 'end_idx': 7, 'type': 'SPR-OBJ'}</t>
  </si>
  <si>
    <t>일제 강점기 때에는 일본인과 한국인이 개최한 스피드 스케이팅 대회가 자주 열렸다.</t>
  </si>
  <si>
    <t>{'word': '스피드 스케이팅', 'start_idx': 25, 'end_idx': 32, 'type': 'SPR-SUB'}</t>
  </si>
  <si>
    <t>{'word': '일제 강점기', 'start_idx': 0, 'end_idx': 5, 'type': 'DAT-OBJ'}</t>
  </si>
  <si>
    <t>17세기 중반을 기점으로 손 보호대가 큰 레이피어가 만들어졌으나, 19세기 이전까지 널리 퍼지지는 않았다.</t>
  </si>
  <si>
    <t>{'word': '손 보호대가 큰 레이피어', 'start_idx': 14, 'end_idx': 26, 'type': 'EQP-SUB'}</t>
  </si>
  <si>
    <t>{'word': '17세기 중반', 'start_idx': 0, 'end_idx': 6, 'type': 'DAT-OBJ'}</t>
  </si>
  <si>
    <t>표적 경기 경기 방식은 싱글라운드 방식으로 남자와 여자의 부문이 나누어서 경기한다.</t>
  </si>
  <si>
    <t>{'word': '표적 경기', 'start_idx': 0, 'end_idx': 4, 'type': 'SPR-SUB'}</t>
  </si>
  <si>
    <t>{'word': '싱글라운드', 'start_idx': 13, 'end_idx': 17, 'type': 'POH-OBJ'}</t>
  </si>
  <si>
    <t>{'word': '1664년 5월', 'start_idx': 4, 'end_idx': 11, 'type': 'DAT-SUB'}</t>
  </si>
  <si>
    <t>{'word': '씨름', 'start_idx': 15, 'end_idx': 16, 'type': 'SPR-OBJ'}</t>
  </si>
  <si>
    <t>{'word': '세계선수권대회', 'start_idx': 45, 'end_idx': 51, 'type': 'POH-SUB'}</t>
  </si>
  <si>
    <t>{'word': '캐나다', 'start_idx': 87, 'end_idx': 89, 'type': 'LOC-OBJ'}</t>
  </si>
  <si>
    <t>사브르의 장점은 이런 다목적에 대응할 수 있는 검이라는 점이다.</t>
  </si>
  <si>
    <t>{'word': '검', 'start_idx': 26, 'end_idx': 26, 'type': 'EQP-SUB'}</t>
  </si>
  <si>
    <t>{'word': '사브르', 'start_idx': 0, 'end_idx': 2, 'type': 'EQP-OBJ'}</t>
  </si>
  <si>
    <t>{'word': '바벨', 'start_idx': 48, 'end_idx': 49, 'type': 'EQP-OBJ'}</t>
  </si>
  <si>
    <t>위의 나사 지지방식이 흔하지만, 일부 선수들은 나사없는 에페검을 사용하기도 한다.</t>
  </si>
  <si>
    <t>{'word': '에페', 'start_idx': 31, 'end_idx': 32, 'type': 'EQP-SUB'}</t>
  </si>
  <si>
    <t>{'word': '나사', 'start_idx': 3, 'end_idx': 4, 'type': 'EQP-OBJ'}</t>
  </si>
  <si>
    <t>{'word': '이스턴콘퍼런스', 'start_idx': 41, 'end_idx': 47, 'type': 'ORG-SUB'}</t>
  </si>
  <si>
    <t>{'word': '웨스턴콘퍼런스', 'start_idx': 50, 'end_idx': 56, 'type': 'ORG-OBJ'}</t>
  </si>
  <si>
    <t>이 모양은 스코틀랜드식이라고 불리던 바구니 모양의 손잡이며, 그 중 브로드 소드의 손잡이가 유명하다.</t>
  </si>
  <si>
    <t>{'word': '손잡이', 'start_idx': 46, 'end_idx': 48, 'type': 'EQP-SUB'}</t>
  </si>
  <si>
    <t>{'word': '브로드 소드', 'start_idx': 38, 'end_idx': 43, 'type': 'EQP-OBJ'}</t>
  </si>
  <si>
    <t>네덜란드 외에 독일, 노르웨이, 스웨덴, 핀란드, 러시아 등지의 유럽 국가에서도 스피드 스케이팅의 인기가 상당히 높다.</t>
  </si>
  <si>
    <t>{'word': '스피드 스케이팅', 'start_idx': 45, 'end_idx': 52, 'type': 'SPR-SUB'}</t>
  </si>
  <si>
    <t>{'word': '네덜란드', 'start_idx': 0, 'end_idx': 3, 'type': 'LOC-OBJ'}</t>
  </si>
  <si>
    <t>{'word': '바벨', 'start_idx': 51, 'end_idx': 52, 'type': 'EQP-OBJ'}</t>
  </si>
  <si>
    <t>{'word': '화기', 'start_idx': 12, 'end_idx': 13, 'type': 'EQP-SUB'}</t>
  </si>
  <si>
    <t>{'word': '화약', 'start_idx': 0, 'end_idx': 1, 'type': 'POH-OBJ'}</t>
  </si>
  <si>
    <t># 당시 이 모양의 사브르는 싱클레어 사브르란 별명으로 불렸다. 이 모양은 스코틀랜드식이라고 불리던 바구니 모양의 손잡이며, 그 중 브로드 소드의 손잡이가 유명하다.</t>
  </si>
  <si>
    <t>{'word': '사브르', 'start_idx': 11, 'end_idx': 13, 'type': 'EQP-SUB'}</t>
  </si>
  <si>
    <t>{'word': '싱클레어 사브르', 'start_idx': 16, 'end_idx': 23, 'type': 'EQP-OBJ'}</t>
  </si>
  <si>
    <t># 에페, 플뢰레와 사브르의 차이점은 펜서들의 코르-아-코르 (corps-a-corps, 접촉) 가 공격을 &amp;quot;고의성&amp;quot; 없이는 반칙이 아니라는 것이다. 그러나, 코르-아-코르는 경기에서 &amp;quot;알트&amp;quot; (halt, 정지) 를 선언하도록 한다.</t>
  </si>
  <si>
    <t>{'word': '접촉', 'start_idx': 50, 'end_idx': 51, 'type': 'POH-SUB'}</t>
  </si>
  <si>
    <t>{'word': '코르-아-코르', 'start_idx': 26, 'end_idx': 32, 'type': 'POH-OBJ'}</t>
  </si>
  <si>
    <t># 표적 경기는 양궁 종목 중에서 국제연맹이 제일 먼저 공인한 종목이다. 여자는 70m·60m·50m·30m 거리에서 남자와 마찬가지로 쏜다.</t>
  </si>
  <si>
    <t>{'word': '표적', 'start_idx': 2, 'end_idx': 3, 'type': 'SPR-SUB'}</t>
  </si>
  <si>
    <t>{'word': '양궁', 'start_idx': 9, 'end_idx': 10, 'type': 'SPR-OBJ'}</t>
  </si>
  <si>
    <t>{'word': '사격술', 'start_idx': 45, 'end_idx': 47, 'type': 'SPR-SUB'}</t>
  </si>
  <si>
    <t>{'word': '화기', 'start_idx': 31, 'end_idx': 32, 'type': 'EQP-OBJ'}</t>
  </si>
  <si>
    <t>{'word': '노르딕 복합경기', 'start_idx': 0, 'end_idx': 7, 'type': 'SPR-SUB'}</t>
  </si>
  <si>
    <t>{'word': '크로스컨트리 경기', 'start_idx': 10, 'end_idx': 18, 'type': 'SPR-OBJ'}</t>
  </si>
  <si>
    <t>앵커링과 에이밍을 통해 활을 정확하게 고정한다. 릴리스는 마지막 동작으로, 화살을 놓는다.</t>
  </si>
  <si>
    <t>{'word': '에이밍', 'start_idx': 5, 'end_idx': 7, 'type': 'POH-SUB'}</t>
  </si>
  <si>
    <t>{'word': '앵커링', 'start_idx': 0, 'end_idx': 2, 'type': 'POH-OBJ'}</t>
  </si>
  <si>
    <t>{'word': '소화기', 'start_idx': 12, 'end_idx': 14, 'type': 'EQP-SUB'}</t>
  </si>
  <si>
    <t>{'word': '권총', 'start_idx': 5, 'end_idx': 6, 'type': 'EQP-OBJ'}</t>
  </si>
  <si>
    <t>사브르(프랑스어: sabre) 또는 세이버(영어: saber)는 유럽의 기병이 사용하는 검이다.</t>
  </si>
  <si>
    <t>{'word': '사브르', 'start_idx': 0, 'end_idx': 2, 'type': 'EQP-SUB'}</t>
  </si>
  <si>
    <t>{'word': '세이버', 'start_idx': 20, 'end_idx': 22, 'type': 'EQP-OBJ'}</t>
  </si>
  <si>
    <t>{'word': '유도', 'start_idx': 16, 'end_idx': 17, 'type': 'SPR-OBJ'}</t>
  </si>
  <si>
    <t>{'word': '스키', 'start_idx': 0, 'end_idx': 1, 'type': 'SPR-SUB'}</t>
  </si>
  <si>
    <t>{'word': '점핑 스키', 'start_idx': 92, 'end_idx': 96, 'type': 'SPR-OBJ'}</t>
  </si>
  <si>
    <t>{'word': '안양 양궁경기장', 'start_idx': 0, 'end_idx': 7, 'type': 'LOC-SUB'}</t>
  </si>
  <si>
    <t>{'word': '경기도 안양시', 'start_idx': 10, 'end_idx': 16, 'type': 'LOC-OBJ'}</t>
  </si>
  <si>
    <t>{'word': '클린', 'start_idx': 10, 'end_idx': 11, 'type': 'POH-SUB'}</t>
  </si>
  <si>
    <t>{'word': '저크', 'start_idx': 20, 'end_idx': 21, 'type': 'POH-OBJ'}</t>
  </si>
  <si>
    <t>특히 2010년 밴쿠버 올림픽에서는 쇼트트랙에서 스피드 스케이팅으로 전향한 이승훈이 장거리 종목인 남자 5,000m 종목에서 아시아 최초로 올림픽 메달을 획득하였고, 10일 뒤인 24일(한국 날짜)에는 남자 10,000m 종목에서 올림픽 기록을 경신하면서 금메달을 획득하였다.</t>
  </si>
  <si>
    <t>{'word': '쇼트트랙', 'start_idx': 20, 'end_idx': 23, 'type': 'SPR-SUB'}</t>
  </si>
  <si>
    <t>{'word': '이승훈', 'start_idx': 42, 'end_idx': 44, 'type': 'PER-OBJ'}</t>
  </si>
  <si>
    <t>{'word': '레드 카드', 'start_idx': 79, 'end_idx': 83, 'type': 'POH-OBJ'}</t>
  </si>
  <si>
    <t>사브르와 플뢰레와는 다르게 에페에서는 프리오리테 규칙이 존재하지 않으며, 일단 투셰를 기록하면 무조건 득점할 수 있다.</t>
  </si>
  <si>
    <t>{'word': '플뢰레', 'start_idx': 5, 'end_idx': 7, 'type': 'SPR-SUB'}</t>
  </si>
  <si>
    <t>{'word': '프리오리테', 'start_idx': 21, 'end_idx': 25, 'type': 'POH-OBJ'}</t>
  </si>
  <si>
    <t>{'word': '프로 씨름경기', 'start_idx': 24, 'end_idx': 30, 'type': 'POH-SUB'}</t>
  </si>
  <si>
    <t>{'word': '대학씨름대회', 'start_idx': 45, 'end_idx': 50, 'type': 'POH-OBJ'}</t>
  </si>
  <si>
    <t>당시 이 모양의 사브르는 싱클레어 사브르란 별명으로 불렸다.</t>
  </si>
  <si>
    <t>{'word': '사브르', 'start_idx': 9, 'end_idx': 11, 'type': 'EQP-SUB'}</t>
  </si>
  <si>
    <t>{'word': '싱클레어 사브르', 'start_idx': 14, 'end_idx': 21, 'type': 'EQP-OBJ'}</t>
  </si>
  <si>
    <t>그러나, 코르-아-코르는 경기에서 &amp;quot;알트&amp;quot; (halt, 정지) 를 선언하도록 한다.</t>
  </si>
  <si>
    <t>{'word': '알트', 'start_idx': 20, 'end_idx': 21, 'type': 'POH-SUB'}</t>
  </si>
  <si>
    <t>{'word': '정지', 'start_idx': 31, 'end_idx': 32, 'type': 'POH-OBJ'}</t>
  </si>
  <si>
    <t>{'word': '엉덩배지기', 'start_idx': 0, 'end_idx': 4, 'type': 'POH-SUB'}</t>
  </si>
  <si>
    <t>{'word': '배지기', 'start_idx': 15, 'end_idx': 17, 'type': 'POH-OBJ'}</t>
  </si>
  <si>
    <t>{'word': '동계 올림픽', 'start_idx': 115, 'end_idx': 120, 'type': 'POH-SUB'}</t>
  </si>
  <si>
    <t>{'word': 'ISU 선수권 대회', 'start_idx': 130, 'end_idx': 139, 'type': 'POH-OBJ'}</t>
  </si>
  <si>
    <t>{'word': '원판', 'start_idx': 2, 'end_idx': 3, 'type': 'EQP-SUB'}</t>
  </si>
  <si>
    <t>{'word': '적색', 'start_idx': 28, 'end_idx': 29, 'type': 'POH-OBJ'}</t>
  </si>
  <si>
    <t>{'word': '턱 가드 붙은 헬멧', 'start_idx': 33, 'end_idx': 42, 'type': 'EQP-OBJ'}</t>
  </si>
  <si>
    <t>{'word': '알파인 스키', 'start_idx': 0, 'end_idx': 5, 'type': 'SPR-SUB'}</t>
  </si>
  <si>
    <t>{'word': '동아시아', 'start_idx': 49, 'end_idx': 52, 'type': 'LOC-OBJ'}</t>
  </si>
  <si>
    <t>{'word': '슈퍼대회전', 'start_idx': 0, 'end_idx': 4, 'type': 'SPR-SUB'}</t>
  </si>
  <si>
    <t>{'word': '기문', 'start_idx': 25, 'end_idx': 26, 'type': 'EQP-OBJ'}</t>
  </si>
  <si>
    <t>가장 무거운 에페 검은 770g이지만, 실전에서는 300에서 450g 사이의 훨씬 가벼운 검을 활용한다.</t>
  </si>
  <si>
    <t>{'word': '에페 검', 'start_idx': 7, 'end_idx': 10, 'type': 'EQP-SUB'}</t>
  </si>
  <si>
    <t>{'word': '검', 'start_idx': 50, 'end_idx': 50, 'type': 'EQP-OBJ'}</t>
  </si>
  <si>
    <t># 유도는 타 무술과 다르게 빨간 띠(Red Belt)가 최고 등급이다.공인 9단 이상에 등극하면 빨간 띠를 착용한다. 물론, 공인 9단이 착용하는 빨간띠는 일반 띠보다 2배 정도 굵다.</t>
  </si>
  <si>
    <t>{'word': '유도', 'start_idx': 2, 'end_idx': 3, 'type': 'SPR-SUB'}</t>
  </si>
  <si>
    <t>{'word': '빨간 띠', 'start_idx': 16, 'end_idx': 19, 'type': 'EQP-OBJ'}</t>
  </si>
  <si>
    <t>{'word': '보트', 'start_idx': 36, 'end_idx': 37, 'type': 'POH-SUB'}</t>
  </si>
  <si>
    <t>{'word': '동력보트', 'start_idx': 48, 'end_idx': 51, 'type': 'POH-OBJ'}</t>
  </si>
  <si>
    <t>쇼트트랙의 세부 종목으로는 남녀 500m(4.5바퀴), 1000m(9바퀴), 1500m(13.5바퀴), 3000m(27바퀴), 여자 계주 3000m(27바퀴), 남자 계주 5000m(45바퀴), 혼성계주 2000m(18바퀴) 가 있다.</t>
  </si>
  <si>
    <t>{'word': '여자 계주 3000m', 'start_idx': 71, 'end_idx': 81, 'type': 'SPR-OBJ'}</t>
  </si>
  <si>
    <t>여주시청양궁장은 경기도 여주시에 있다.</t>
  </si>
  <si>
    <t>{'word': '여주시청양궁장', 'start_idx': 0, 'end_idx': 6, 'type': 'LOC-SUB'}</t>
  </si>
  <si>
    <t>{'word': '경기도 여주시', 'start_idx': 9, 'end_idx': 15, 'type': 'LOC-OBJ'}</t>
  </si>
  <si>
    <t>{'word': '허완구', 'start_idx': 68, 'end_idx': 70, 'type': 'PER-SUB'}</t>
  </si>
  <si>
    <t>{'word': '조산민속씨름 협회클럽', 'start_idx': 85, 'end_idx': 95, 'type': 'ORG-OBJ'}</t>
  </si>
  <si>
    <t>유도는 발상지인 일본은 물론 유럽을 비롯해 전 세계에서 보급되고 있다</t>
  </si>
  <si>
    <t>{'word': '일본', 'start_idx': 9, 'end_idx': 10, 'type': 'LOC-OBJ'}</t>
  </si>
  <si>
    <t>원사는 화살을 쏘아 멀리 원거리 기록을 평가하는 경기로서, 누가 가장 먼저 멀리 쏘느냐로 승부를 가리는만큼 가늘고 짧은 화살을 사용한다.</t>
  </si>
  <si>
    <t>{'word': '원사', 'start_idx': 0, 'end_idx': 1, 'type': 'SPR-SUB'}</t>
  </si>
  <si>
    <t>{'word': '가늘고 짧은 화살', 'start_idx': 60, 'end_idx': 68, 'type': 'EQP-OBJ'}</t>
  </si>
  <si>
    <t>{'word': '아시아리그 아이스하키', 'start_idx': 32, 'end_idx': 42, 'type': 'ORG-SUB'}</t>
  </si>
  <si>
    <t>{'word': '아시아 버전의 NHL', 'start_idx': 2, 'end_idx': 12, 'type': 'ORG-OBJ'}</t>
  </si>
  <si>
    <t>{'word': '역도', 'start_idx': 3, 'end_idx': 4, 'type': 'SPR-SUB'}</t>
  </si>
  <si>
    <t>{'word': '경기대', 'start_idx': 27, 'end_idx': 29, 'type': 'ORG-OBJ'}</t>
  </si>
  <si>
    <t>{'word': '스키', 'start_idx': 0, 'end_idx': 1, 'type': 'EQP-SUB'}</t>
  </si>
  <si>
    <t>{'word': '바인딩', 'start_idx': 17, 'end_idx': 19, 'type': 'EQP-OBJ'}</t>
  </si>
  <si>
    <t>{'word': '역도', 'start_idx': 2, 'end_idx': 3, 'type': 'SPR-SUB'}</t>
  </si>
  <si>
    <t>{'word': '벨트', 'start_idx': 9, 'end_idx': 10, 'type': 'EQP-OBJ'}</t>
  </si>
  <si>
    <t>{'word': '조선시대', 'start_idx': 0, 'end_idx': 3, 'type': 'DAT-SUB'}</t>
  </si>
  <si>
    <t>{'word': '풍속도', 'start_idx': 11, 'end_idx': 13, 'type': 'POH-OBJ'}</t>
  </si>
  <si>
    <t>{'word': '월평양궁장', 'start_idx': 0, 'end_idx': 4, 'type': 'LOC-SUB'}</t>
  </si>
  <si>
    <t>{'word': '대전광역시 서구', 'start_idx': 7, 'end_idx': 14, 'type': 'LOC-OBJ'}</t>
  </si>
  <si>
    <t>{'word': '말초순환', 'start_idx': 26, 'end_idx': 29, 'type': 'POH-OBJ'}</t>
  </si>
  <si>
    <t>{'word': '몽골', 'start_idx': 7, 'end_idx': 8, 'type': 'LOC-SUB'}</t>
  </si>
  <si>
    <t>{'word': '고구려', 'start_idx': 18, 'end_idx': 20, 'type': 'LOC-OBJ'}</t>
  </si>
  <si>
    <t>{'word': '페널티', 'start_idx': 32, 'end_idx': 34, 'type': 'POH-OBJ'}</t>
  </si>
  <si>
    <t>{'word': '씨름', 'start_idx': 0, 'end_idx': 1, 'type': 'SPR-SUB'}</t>
  </si>
  <si>
    <t>{'word': '상고시대', 'start_idx': 7, 'end_idx': 10, 'type': 'DAT-OBJ'}</t>
  </si>
  <si>
    <t>사브르가 유럽에서 처음으로 사용된 것은 16세기경 스위스에서였는데, 그들은 사브르를 슈바이쩌제블(Schweizersabel)이라고 불렀으며, 바스타드 소드의 일종으로 여겼다.</t>
  </si>
  <si>
    <t>{'word': '슈바이쩌제블', 'start_idx': 47, 'end_idx': 52, 'type': 'EQP-OBJ'}</t>
  </si>
  <si>
    <t>{'word': '조준선', 'start_idx': 0, 'end_idx': 2, 'type': 'POH-SUB'}</t>
  </si>
  <si>
    <t>{'word': '총구', 'start_idx': 26, 'end_idx': 27, 'type': 'EQP-OBJ'}</t>
  </si>
  <si>
    <t>유럽에서는 17세기부터 20세기 초까지 비교적 오랫동안 사용되었고, 명칭은 다르지만 군용 검 중에 이와 모양이 유사한 검을 많이 찾아볼 수 있다.</t>
  </si>
  <si>
    <t>{'word': '검', 'start_idx': 66, 'end_idx': 66, 'type': 'EQP-SUB'}</t>
  </si>
  <si>
    <t>{'word': '유럽', 'start_idx': 0, 'end_idx': 1, 'type': 'LOC-OBJ'}</t>
  </si>
  <si>
    <t>현재 국내 양궁 업체는 MK Korea와 Win&amp;amp;Win이 있다.</t>
  </si>
  <si>
    <t>{'word': 'Win&amp;Win', 'start_idx': 23, 'end_idx': 29, 'type': 'ORG-SUB'}</t>
  </si>
  <si>
    <t>{'word': 'MK Korea', 'start_idx': 13, 'end_idx': 20, 'type': 'ORG-OBJ'}</t>
  </si>
  <si>
    <t>유도(柔道, 일본어: 柔道 주도[*])는 일본에서 유래된 무도로, 온몸을 사용하여 2명의 선수가 상대를 공격하거나 힘의 역학을 이용하여 공격하는 상대의 허점을 찔러 승패를 겨룬다.</t>
  </si>
  <si>
    <t>{'word': '일본', 'start_idx': 23, 'end_idx': 24, 'type': 'LOC-OBJ'}</t>
  </si>
  <si>
    <t>에페는 상급 대회에서 땅을 찔러 투셰가 되는 것을 막기 위해 특수 피스트 위에서 경기를 치른다.</t>
  </si>
  <si>
    <t>{'word': '에페', 'start_idx': 0, 'end_idx': 1, 'type': 'SPR-SUB'}</t>
  </si>
  <si>
    <t>{'word': '특수 피스트', 'start_idx': 34, 'end_idx': 39, 'type': 'EQP-OBJ'}</t>
  </si>
  <si>
    <t>대한민국 선수들이 스피드 스케이팅의 국제 무대에서 본격적으로 세계 상위권에 들어가게 된 것은 1980년대 후반 이후로, 1992년 김윤만이 딴 은메달이 한국 최초의 메달이다.</t>
  </si>
  <si>
    <t>{'word': '스피드 스케이팅', 'start_idx': 10, 'end_idx': 17, 'type': 'SPR-SUB'}</t>
  </si>
  <si>
    <t>{'word': '김윤만', 'start_idx': 73, 'end_idx': 75, 'type': 'PER-OBJ'}</t>
  </si>
  <si>
    <t>{'word': '가로막기', 'start_idx': 9, 'end_idx': 12, 'type': 'POH-SUB'}</t>
  </si>
  <si>
    <t>{'word': '블로킹', 'start_idx': 15, 'end_idx': 17, 'type': 'POH-OBJ'}</t>
  </si>
  <si>
    <t>오프트랙 은 트랙을 나타내는 블록으로 표시한 커브의 왼쪽으로 한쪽 또는 양쪽 스케이트를 스케이팅 하는 것이다.</t>
  </si>
  <si>
    <t>{'word': '오프트랙', 'start_idx': 0, 'end_idx': 3, 'type': 'SPR-SUB'}</t>
  </si>
  <si>
    <t>{'word': '스케이트', 'start_idx': 43, 'end_idx': 46, 'type': 'EQP-OBJ'}</t>
  </si>
  <si>
    <t>{'word': '조준선', 'start_idx': 13, 'end_idx': 15, 'type': 'POH-SUB'}</t>
  </si>
  <si>
    <t>{'word': '탄착', 'start_idx': 25, 'end_idx': 26, 'type': 'POH-OBJ'}</t>
  </si>
  <si>
    <t>{'word': '유도', 'start_idx': 72, 'end_idx': 73, 'type': 'SPR-SUB'}</t>
  </si>
  <si>
    <t>{'word': '바깥다리걸기', 'start_idx': 5, 'end_idx': 10, 'type': 'POH-OBJ'}</t>
  </si>
  <si>
    <t>{'word': '아시아리그 아이스하키 사무국', 'start_idx': 0, 'end_idx': 14, 'type': 'ORG-SUB'}</t>
  </si>
  <si>
    <t>{'word': '일본 동경', 'start_idx': 17, 'end_idx': 21, 'type': 'LOC-OBJ'}</t>
  </si>
  <si>
    <t>이후 제1차 세계대전으로 중단되었다가 전후인 1917년 미국?캐나다팀인 몬트리올 캐나디언스, 몬트리올 원더러스, 오타와 세너터스, 퀘벡 불도그스 4개팀이 정식으로 연맹을 결성하였다.</t>
  </si>
  <si>
    <t>{'word': '몬트리올 캐나디언스', 'start_idx': 40, 'end_idx': 49, 'type': 'ORG-SUB'}</t>
  </si>
  <si>
    <t>{'word': '몬트리올 원더러스', 'start_idx': 52, 'end_idx': 60, 'type': 'ORG-OBJ'}</t>
  </si>
  <si>
    <t>{'word': '기원전 25세기경', 'start_idx': 18, 'end_idx': 26, 'type': 'DAT-OBJ'}</t>
  </si>
  <si>
    <t>경기에서, 펜서들은 최소한 검 두자루와 두 몸통 전선을 오작동에 대비하여 필요로 한다.</t>
  </si>
  <si>
    <t>{'word': '펜서', 'start_idx': 6, 'end_idx': 7, 'type': 'POH-SUB'}</t>
  </si>
  <si>
    <t>{'word': '전선', 'start_idx': 27, 'end_idx': 28, 'type': 'EQP-OBJ'}</t>
  </si>
  <si>
    <t>{'word': '북유럽', 'start_idx': 41, 'end_idx': 43, 'type': 'LOC-OBJ'}</t>
  </si>
  <si>
    <t>에페 (epee)는 프랑스어로 단순히 &amp;quot;검&amp;quot; (로마 시대의 검인 스파타에서 유래) 을 뜻한다.</t>
  </si>
  <si>
    <t>{'word': '검', 'start_idx': 22, 'end_idx': 22, 'type': 'EQP-OBJ'}</t>
  </si>
  <si>
    <t>{'word': '사이클로크로스', 'start_idx': 0, 'end_idx': 6, 'type': 'ORG-SUB'}</t>
  </si>
  <si>
    <t>{'word': 'cyclocross', 'start_idx': 25, 'end_idx': 34, 'type': 'ORG-OBJ'}</t>
  </si>
  <si>
    <t>{'word': '사격', 'start_idx': 2, 'end_idx': 3, 'type': 'SPR-SUB'}</t>
  </si>
  <si>
    <t>{'word': '화기', 'start_idx': 49, 'end_idx': 50, 'type': 'POH-OBJ'}</t>
  </si>
  <si>
    <t>{'word': '밴디', 'start_idx': 0, 'end_idx': 1, 'type': 'SPR-SUB'}</t>
  </si>
  <si>
    <t>{'word': '로열 캐나디언 라이플스 연대', 'start_idx': 20, 'end_idx': 34, 'type': 'ORG-OBJ'}</t>
  </si>
  <si>
    <t>에페 손잡이는 일반적으로 알루미늄이나 스테인레스로 되어 있다. 검의 손잡이쪽 끝으로는 전선줄이 있으며, 이는 득점 장비와 연결되어 있다.</t>
  </si>
  <si>
    <t>{'word': '스테인레스', 'start_idx': 21, 'end_idx': 25, 'type': 'EQP-OBJ'}</t>
  </si>
  <si>
    <t>{'word': '투르 드 프랑스', 'start_idx': 0, 'end_idx': 7, 'type': 'POH-SUB'}</t>
  </si>
  <si>
    <t>{'word': '지오 레피브르', 'start_idx': 15, 'end_idx': 21, 'type': 'PER-OBJ'}</t>
  </si>
  <si>
    <t>모두걸기, 허벅다리걸기, 발뒤축걸기, 다리대돌리기, 발목후리기, 허리대돌리기, 두밭다리걸기, 밭다리걸기, 모두걸기되치기, 밭다리되치기, 안다리되치기, 허리튀기되치기, 허리후리기되치기, 허벅다리되치기가 있다.</t>
  </si>
  <si>
    <t>{'word': '모두걸기', 'start_idx': 0, 'end_idx': 3, 'type': 'POH-SUB'}</t>
  </si>
  <si>
    <t>{'word': '허벅다리되치기', 'start_idx': 103, 'end_idx': 109, 'type': 'POH-OBJ'}</t>
  </si>
  <si>
    <t>{'word': 'Ice hockey', 'start_idx': 6, 'end_idx': 15, 'type': 'SPR-OBJ'}</t>
  </si>
  <si>
    <t>{'word': '스탠리컵 대회', 'start_idx': 0, 'end_idx': 6, 'type': 'POH-SUB'}</t>
  </si>
  <si>
    <t>{'word': 'NHL', 'start_idx': 15, 'end_idx': 17, 'type': 'POH-OBJ'}</t>
  </si>
  <si>
    <t>만약 레프리는 선수/계주 팀이 자신의 통제 범위를 벗어난 이유로 결승선을 통과할 수 없다고 판단하면, 그 레프리는 선수/계주 팀에게 결승선을 통과하였음을 선언할 수 있으나, 단 노타임으로 기록된다</t>
  </si>
  <si>
    <t>{'word': '레프리', 'start_idx': 3, 'end_idx': 5, 'type': 'POH-SUB'}</t>
  </si>
  <si>
    <t>{'word': '결승선', 'start_idx': 74, 'end_idx': 76, 'type': 'EQP-OBJ'}</t>
  </si>
  <si>
    <t>{'word': '1992년 10월 30일', 'start_idx': 6, 'end_idx': 18, 'type': 'DAT-SUB'}</t>
  </si>
  <si>
    <t>{'word': '한국민속씨름 협회', 'start_idx': 25, 'end_idx': 33, 'type': 'ORG-OBJ'}</t>
  </si>
  <si>
    <t>이 방식이 현대의 에페 펜싱 규정으로 굳어졌으며, 검 형태를 결정지었다.</t>
  </si>
  <si>
    <t>{'word': '에페', 'start_idx': 10, 'end_idx': 11, 'type': 'SPR-SUB'}</t>
  </si>
  <si>
    <t>{'word': '현대', 'start_idx': 6, 'end_idx': 7, 'type': 'DAT-OBJ'}</t>
  </si>
  <si>
    <t>에페 규정에 따르면, 투셰가 인정되는 찌르기의 힘은 최소 750그램힘 (7.4N) 이어야 한다.</t>
  </si>
  <si>
    <t>{'word': '투셰', 'start_idx': 12, 'end_idx': 13, 'type': 'POH-OBJ'}</t>
  </si>
  <si>
    <t>{'word': '가늠자', 'start_idx': 0, 'end_idx': 2, 'type': 'EQP-SUB'}</t>
  </si>
  <si>
    <t>{'word': '가늠쇠', 'start_idx': 5, 'end_idx': 7, 'type': 'EQP-OBJ'}</t>
  </si>
  <si>
    <t># 에페 검의 끝부분은 두개의 그러브 나사로 고정되어 있는데, 이는 가느다란 구멍에 엮여 배럴 한쪽에 위치해 있다. 그러브 나사는 검의 끝부분을 지지해주며, 자유로운 동작을 가능케 해준다.</t>
  </si>
  <si>
    <t>{'word': '에페 검', 'start_idx': 2, 'end_idx': 5, 'type': 'EQP-SUB'}</t>
  </si>
  <si>
    <t>{'word': '그러브 나사', 'start_idx': 17, 'end_idx': 22, 'type': 'EQP-OBJ'}</t>
  </si>
  <si>
    <t>활은 옛날 인류의 중요한 무기였으나 총이 등장하면서 그 가치성을 상실해 버리고 이제는 하나의 스포츠로 이용되고 있다.</t>
  </si>
  <si>
    <t>{'word': '총', 'start_idx': 20, 'end_idx': 20, 'type': 'EQP-SUB'}</t>
  </si>
  <si>
    <t>{'word': '활', 'start_idx': 0, 'end_idx': 0, 'type': 'EQP-OBJ'}</t>
  </si>
  <si>
    <t>{'word': '씨름', 'start_idx': 3, 'end_idx': 4, 'type': 'SPR-SUB'}</t>
  </si>
  <si>
    <t>{'word': '되치기', 'start_idx': 17, 'end_idx': 19, 'type': 'SPR-OBJ'}</t>
  </si>
  <si>
    <t>전자장비 도입 이전, 에페이스트는 퐁 다레 (point d'arret, 정지 장치) 를 사용하였는데, 이는 3개의 작은 가시로 되어 있어 상대의 옷이나 마스크에 붙어, 심판이 투셰를 쉽게 확인할 수 있도록 하였다.</t>
  </si>
  <si>
    <t>{'word': '에페이스트', 'start_idx': 12, 'end_idx': 16, 'type': 'PER-SUB'}</t>
  </si>
  <si>
    <t>{'word': '투셰', 'start_idx': 98, 'end_idx': 99, 'type': 'POH-OBJ'}</t>
  </si>
  <si>
    <t>에페 끝부분은 여러 부분으로 나뉘는데, 버섯 모양의 이동식 끝부분, 이를 본체와 연결하는 &amp;quot;배럴&amp;quot;, 그리고 접촉 스프링과, 재생 스프링으로 구성되어 있다.</t>
  </si>
  <si>
    <t>{'word': '배럴', 'start_idx': 51, 'end_idx': 52, 'type': 'EQP-OBJ'}</t>
  </si>
  <si>
    <t>{'word': '격발', 'start_idx': 0, 'end_idx': 1, 'type': 'POH-SUB'}</t>
  </si>
  <si>
    <t>{'word': '방아쇠', 'start_idx': 4, 'end_idx': 6, 'type': 'POH-OBJ'}</t>
  </si>
  <si>
    <t>{'word': '스탠리컵', 'start_idx': 25, 'end_idx': 28, 'type': 'POH-SUB'}</t>
  </si>
  <si>
    <t>{'word': '카나디앵 드 몽레알', 'start_idx': 70, 'end_idx': 79, 'type': 'ORG-OBJ'}</t>
  </si>
  <si>
    <t>양궁에서 몸은 선 자세를 기초로 하여 윗몸을 자연스럽게 하고 허리를 편다.</t>
  </si>
  <si>
    <t>{'word': '양궁', 'start_idx': 0, 'end_idx': 1, 'type': 'SPR-SUB'}</t>
  </si>
  <si>
    <t>{'word': '선 자세', 'start_idx': 8, 'end_idx': 11, 'type': 'POH-OBJ'}</t>
  </si>
  <si>
    <t># 그러나, 유도는 검은 띠가 최고 등급이 아닌 5단까지 착용하는 것이며, 사범에 해당되는 공인 6단 이상에 등극하면 빨간색과 흰색이 20cm 간격으로 각각 반복적으로 혼합되어 있는 띠로 착용한다. 이를 전문용어로 용띠-[룡띠](龍-, Dragon Belt)라고 한다.</t>
  </si>
  <si>
    <t>{'word': '유도', 'start_idx': 7, 'end_idx': 8, 'type': 'SPR-SUB'}</t>
  </si>
  <si>
    <t>{'word': '용띠', 'start_idx': 120, 'end_idx': 121, 'type': 'EQP-OBJ'}</t>
  </si>
  <si>
    <t>{'word': '롱트랙 스피드 스케이팅', 'start_idx': 0, 'end_idx': 11, 'type': 'SPR-SUB'}</t>
  </si>
  <si>
    <t>{'word': '빙속', 'start_idx': 63, 'end_idx': 64, 'type': 'SPR-OBJ'}</t>
  </si>
  <si>
    <t>{'word': '바이애슬론', 'start_idx': 2, 'end_idx': 6, 'type': 'SPR-SUB'}</t>
  </si>
  <si>
    <t>{'word': '총', 'start_idx': 65, 'end_idx': 65, 'type': 'EQP-OBJ'}</t>
  </si>
  <si>
    <t>{'word': '사격술', 'start_idx': 68, 'end_idx': 70, 'type': 'POH-SUB'}</t>
  </si>
  <si>
    <t>{'word': '포술', 'start_idx': 54, 'end_idx': 55, 'type': 'POH-OBJ'}</t>
  </si>
  <si>
    <t>{'word': '경성제국대학과 철도국', 'start_idx': 5, 'end_idx': 15, 'type': 'ORG-SUB'}</t>
  </si>
  <si>
    <t>{'word': '빙구', 'start_idx': 18, 'end_idx': 19, 'type': 'SPR-OBJ'}</t>
  </si>
  <si>
    <t>현대 에페 펜싱에서 성인용 검 (5호) 은 검 손잡이에서 끝가지의 길이가 90cm이다.</t>
  </si>
  <si>
    <t>{'word': '현대 에페 펜싱', 'start_idx': 0, 'end_idx': 7, 'type': 'SPR-SUB'}</t>
  </si>
  <si>
    <t>{'word': '성인용 검', 'start_idx': 11, 'end_idx': 15, 'type': 'EQP-OBJ'}</t>
  </si>
  <si>
    <t>유도의 조르기 기술에는 십자조르기, 역십자조르기, 외십자조르기, 맨손조르기, 안아조르기, 죽지걸어조르기, 어깨로조르기, 양손조르기, 소매깃잡고조르기, 주먹조르기, 삼각조르기가 있다.</t>
  </si>
  <si>
    <t>{'word': '맨손조르기', 'start_idx': 36, 'end_idx': 40, 'type': 'POH-OBJ'}</t>
  </si>
  <si>
    <t>1936년 독일 가르미슈파르텐키르헨에서 열린 제4회 동계 올림픽에는 비록 일본 소속으로 나섰지만 조선인이 대표로 뽑혀 대회에 참가하였고, 해방 후 1948년 스위스 생모리츠에서 열린 제5회 동계 올림픽에 태극기를 달고 처음으로 출전하였다.</t>
  </si>
  <si>
    <t>{'word': '스위스 생모리츠', 'start_idx': 88, 'end_idx': 95, 'type': 'LOC-SUB'}</t>
  </si>
  <si>
    <t>{'word': '태극기', 'start_idx': 114, 'end_idx': 116, 'type': 'POH-OBJ'}</t>
  </si>
  <si>
    <t>{'word': '총', 'start_idx': 28, 'end_idx': 28, 'type': 'EQP-OBJ'}</t>
  </si>
  <si>
    <t>{'word': '목초지', 'start_idx': 25, 'end_idx': 27, 'type': 'LOC-SUB'}</t>
  </si>
  <si>
    <t>{'word': '선수', 'start_idx': 37, 'end_idx': 38, 'type': 'PER-OBJ'}</t>
  </si>
  <si>
    <t>기록원은선수들의 점수를 기록하며, 채점하기 곤란한 화살이 있을 때에는 빨간색 기를 올려 전문위원에게 판정을 요청한다.</t>
  </si>
  <si>
    <t>{'word': '빨간색 기', 'start_idx': 39, 'end_idx': 43, 'type': 'EQP-SUB'}</t>
  </si>
  <si>
    <t>{'word': '화살', 'start_idx': 28, 'end_idx': 29, 'type': 'EQP-OBJ'}</t>
  </si>
  <si>
    <t>18세기 말 나폴레옹 보나파르트의 이집트 원정 결과 사브르는 칼날 부분과 외형이 페르시아풍으로 바뀐 적도 있었지만, 일시적인 유행 변화를 제외하면 그 모양은 거의 변화없이 통일된 상태로 20세기에 이르기까지 기병 부대의 주요 검으로 계승되어 왔다.</t>
  </si>
  <si>
    <t>{'word': '나폴레옹', 'start_idx': 7, 'end_idx': 10, 'type': 'PER-SUB'}</t>
  </si>
  <si>
    <t>{'word': '칼날', 'start_idx': 34, 'end_idx': 35, 'type': 'EQP-OBJ'}</t>
  </si>
  <si>
    <t>{'word': '목재', 'start_idx': 27, 'end_idx': 28, 'type': 'POH-OBJ'}</t>
  </si>
  <si>
    <t>{'word': '일본', 'start_idx': 54, 'end_idx': 55, 'type': 'ORG-SUB'}</t>
  </si>
  <si>
    <t>{'word': '닛코 아이스벅스', 'start_idx': 91, 'end_idx': 98, 'type': 'ORG-OBJ'}</t>
  </si>
  <si>
    <t>에페 기술 또한 플뢰레와 차이점이 있는데, 이는 에페가 프리오리테 (Priorite: 공격 우선권) 규칙이 적용되지 않는 검이기 때문이다.</t>
  </si>
  <si>
    <t>{'word': '프리오리테', 'start_idx': 31, 'end_idx': 35, 'type': 'POH-OBJ'}</t>
  </si>
  <si>
    <t>{'word': '씨름', 'start_idx': 8, 'end_idx': 9, 'type': 'SPR-SUB'}</t>
  </si>
  <si>
    <t>{'word': '세종', 'start_idx': 22, 'end_idx': 23, 'type': 'PER-OBJ'}</t>
  </si>
  <si>
    <t>청원양궁장은 충청북도 청주시에 있다.</t>
  </si>
  <si>
    <t>{'word': '청원양궁장', 'start_idx': 0, 'end_idx': 4, 'type': 'LOC-SUB'}</t>
  </si>
  <si>
    <t>{'word': '충청북도 청주시', 'start_idx': 7, 'end_idx': 14, 'type': 'LOC-OBJ'}</t>
  </si>
  <si>
    <t>심봉에는 2개당 2.5kg 무게가 나가는 2개의 조임쇠가 있다. 남자용 심봉에는 양손의 위치를 쉽게 정할 수 있도록 옹이가 있지만, 여자용 심봉에는 옹이가 없다.</t>
  </si>
  <si>
    <t>{'word': '심봉', 'start_idx': 0, 'end_idx': 1, 'type': 'EQP-SUB'}</t>
  </si>
  <si>
    <t>{'word': '조임쇠', 'start_idx': 27, 'end_idx': 29, 'type': 'EQP-OBJ'}</t>
  </si>
  <si>
    <t>{'word': '기문', 'start_idx': 12, 'end_idx': 13, 'type': 'EQP-SUB'}</t>
  </si>
  <si>
    <t>{'word': '기문', 'start_idx': 29, 'end_idx': 30, 'type': 'EQP-OBJ'}</t>
  </si>
  <si>
    <t>대구시 앞산양궁장은 대구 남구 (관덕정 옆)에 있다.</t>
  </si>
  <si>
    <t>{'word': '대구시 앞산양궁장', 'start_idx': 0, 'end_idx': 8, 'type': 'LOC-SUB'}</t>
  </si>
  <si>
    <t>{'word': '대구 남구', 'start_idx': 11, 'end_idx': 15, 'type': 'LOC-OBJ'}</t>
  </si>
  <si>
    <t>{'word': '심봉', 'start_idx': 15, 'end_idx': 16, 'type': 'EQP-OBJ'}</t>
  </si>
  <si>
    <t>{'word': '김수녕 기념 양궁장', 'start_idx': 0, 'end_idx': 9, 'type': 'LOC-SUB'}</t>
  </si>
  <si>
    <t>{'word': '충청북도 청주시', 'start_idx': 12, 'end_idx': 19, 'type': 'LOC-OBJ'}</t>
  </si>
  <si>
    <t>{'word': '광학식 조준기', 'start_idx': 23, 'end_idx': 29, 'type': 'EQP-SUB'}</t>
  </si>
  <si>
    <t>{'word': '화기', 'start_idx': 32, 'end_idx': 33, 'type': 'EQP-OBJ'}</t>
  </si>
  <si>
    <t>{'word': '권총', 'start_idx': 30, 'end_idx': 31, 'type': 'EQP-SUB'}</t>
  </si>
  <si>
    <t>{'word': '소화기', 'start_idx': 41, 'end_idx': 43, 'type': 'EQP-OBJ'}</t>
  </si>
  <si>
    <t>{'word': '활강 경기', 'start_idx': 0, 'end_idx': 4, 'type': 'SPR-SUB'}</t>
  </si>
  <si>
    <t>{'word': '코스', 'start_idx': 51, 'end_idx': 52, 'type': 'EQP-OBJ'}</t>
  </si>
  <si>
    <t>유도의 꺾기 기술에는 팔얽어비틀기, 팔가로누워꺾기, 어깨대팔꿈치꺾기, 무릎대팔꺾기, 겨드랑이대팔꺾기, 배대팔꺾기, 다리팔꺾기, 손대팔꺾기, 삼각팔꺾기 S가 있다.</t>
  </si>
  <si>
    <t>{'word': '배대팔꺾기', 'start_idx': 57, 'end_idx': 61, 'type': 'POH-OBJ'}</t>
  </si>
  <si>
    <t>{'word': '노르딕 경기', 'start_idx': 0, 'end_idx': 5, 'type': 'SPR-SUB'}</t>
  </si>
  <si>
    <t>{'word': '점프 경기', 'start_idx': 19, 'end_idx': 23, 'type': 'SPR-OBJ'}</t>
  </si>
  <si>
    <t>{'word': '아이스하키', 'start_idx': 2, 'end_idx': 6, 'type': 'SPR-SUB'}</t>
  </si>
  <si>
    <t>{'word': '공격수', 'start_idx': 30, 'end_idx': 32, 'type': 'POH-OBJ'}</t>
  </si>
  <si>
    <t>{'word': '회전 경기', 'start_idx': 2, 'end_idx': 6, 'type': 'SPR-SUB'}</t>
  </si>
  <si>
    <t>{'word': '깃발', 'start_idx': 41, 'end_idx': 42, 'type': 'EQP-OBJ'}</t>
  </si>
  <si>
    <t>{'word': '다니엘 구소', 'start_idx': 10, 'end_idx': 15, 'type': 'PER-SUB'}</t>
  </si>
  <si>
    <t>{'word': '사이클로크로스', 'start_idx': 20, 'end_idx': 26, 'type': 'SPR-OBJ'}</t>
  </si>
  <si>
    <t>{'word': '대회전 경기', 'start_idx': 2, 'end_idx': 7, 'type': 'SPR-SUB'}</t>
  </si>
  <si>
    <t>{'word': '회전 경기', 'start_idx': 16, 'end_idx': 20, 'type': 'SPR-OBJ'}</t>
  </si>
  <si>
    <t>표적 경기는단식과 복식으로 나누어지는데, 단식에서는 144발을 쏘고, 복식에서는 계속하여 288발을 쏜다.</t>
  </si>
  <si>
    <t>{'word': '단식', 'start_idx': 6, 'end_idx': 7, 'type': 'POH-OBJ'}</t>
  </si>
  <si>
    <t>그러나, 유도는 검은 띠가 최고 등급이 아닌 5단까지 착용하는 것이며, 사범에 해당되는 공인 6단 이상에 등극하면 빨간색과 흰색이 20cm 간격으로 각각 반복적으로 혼합되어 있는 띠로 착용한다.</t>
  </si>
  <si>
    <t>{'word': '유도', 'start_idx': 5, 'end_idx': 6, 'type': 'SPR-SUB'}</t>
  </si>
  <si>
    <t>{'word': '사범', 'start_idx': 40, 'end_idx': 41, 'type': 'POH-OBJ'}</t>
  </si>
  <si>
    <t>{'word': '콘티넨탈 하키 리그', 'start_idx': 2, 'end_idx': 11, 'type': 'ORG-SUB'}</t>
  </si>
  <si>
    <t>{'word': '카자흐스탄', 'start_idx': 182, 'end_idx': 186, 'type': 'LOC-OBJ'}</t>
  </si>
  <si>
    <t>유도의 메치기 기술로는 손기술, 허리기술, 발기술이 있다.</t>
  </si>
  <si>
    <t>{'word': '허리기술', 'start_idx': 18, 'end_idx': 21, 'type': 'POH-OBJ'}</t>
  </si>
  <si>
    <t>에이밍은 앵커링과 바로 연결된 동작으로, 사람에 따라서는 활과 화살을 들어올릴 때, 에이밍을 해 놓고 당기기를 하는 경우도 있다.</t>
  </si>
  <si>
    <t>{'word': '에이밍', 'start_idx': 0, 'end_idx': 2, 'type': 'POH-SUB'}</t>
  </si>
  <si>
    <t>{'word': '앵커링', 'start_idx': 5, 'end_idx': 7, 'type': 'POH-OBJ'}</t>
  </si>
  <si>
    <t>독일 사브르의 특징은 긴 막대기 모양의 가드와 여기에 연결되는 너클 보우(활 모양의 주먹 보호 부분)이고, 16세기 말에는 주먹을 온전히 보호할 수 있을 정도로 거대한 바구니 모양의 손가락 보호 부분도 생겨났다.</t>
  </si>
  <si>
    <t>{'word': '사브르', 'start_idx': 3, 'end_idx': 5, 'type': 'EQP-SUB'}</t>
  </si>
  <si>
    <t>{'word': '너클 보우', 'start_idx': 35, 'end_idx': 39, 'type': 'EQP-OBJ'}</t>
  </si>
  <si>
    <t># 유도는 타 무술과 다르게 빨간 띠(Red Belt)가 최고 등급이다.공인 9단 이상에 등극하면 빨간 띠를 착용한다.</t>
  </si>
  <si>
    <t>1886년에는 캐나다 아마추어 하키 연맹이 만들어졌고, 1920년에는 올림픽의 정식 종목으로 채택된 이후로 아이스하키는 캐나다에서 가장 사랑 받는 동계 스포츠 종목이 되었다.</t>
  </si>
  <si>
    <t>{'word': '아이스하키', 'start_idx': 60, 'end_idx': 64, 'type': 'SPR-SUB'}</t>
  </si>
  <si>
    <t>{'word': '캐나다 아마추어 하키 연맹', 'start_idx': 8, 'end_idx': 21, 'type': 'ORG-OBJ'}</t>
  </si>
  <si>
    <t>에페, 플뢰레와 사브르의 차이점은 펜서들의 코르-아-코르 (corps-a-corps, 접촉) 가 공격을 &amp;quot;고의성&amp;quot; 없이는 반칙이 아니라는 것이다.</t>
  </si>
  <si>
    <t>{'word': '코르-아-코르', 'start_idx': 24, 'end_idx': 30, 'type': 'POH-OBJ'}</t>
  </si>
  <si>
    <t>순천양궁연습장은 전라남도 순천시에 있다.</t>
  </si>
  <si>
    <t>{'word': '순천양궁연습장', 'start_idx': 0, 'end_idx': 6, 'type': 'LOC-SUB'}</t>
  </si>
  <si>
    <t>{'word': '전라남도 순천시', 'start_idx': 9, 'end_idx': 16, 'type': 'LOC-OBJ'}</t>
  </si>
  <si>
    <t>{'word': '바벨', 'start_idx': 56, 'end_idx': 57, 'type': 'EQP-OBJ'}</t>
  </si>
  <si>
    <t>{'word': '사이클로크로스', 'start_idx': 0, 'end_idx': 6, 'type': 'SPR-SUB'}</t>
  </si>
  <si>
    <t>{'word': '1950년', 'start_idx': 20, 'end_idx': 24, 'type': 'DAT-OBJ'}</t>
  </si>
  <si>
    <t>spr:used_skill</t>
    <phoneticPr fontId="4" type="noConversion"/>
  </si>
  <si>
    <t>{'word': '뜀뛰기', 'start_idx': 0, 'end_idx': 2, 'type': 'SPR'}</t>
    <phoneticPr fontId="4" type="noConversion"/>
  </si>
  <si>
    <t>{'word': '도움닫기', 'start_idx': 64, 'end_idx': 67, 'type': 'POH'}</t>
    <phoneticPr fontId="4" type="noConversion"/>
  </si>
  <si>
    <t>spr:is_relative_to</t>
    <phoneticPr fontId="4" type="noConversion"/>
  </si>
  <si>
    <t>{'word': '앤빌 코러스(Anvil Chorus)', 'start_idx': 0, 'end_idx': 19, 'type': 'SPR'}</t>
    <phoneticPr fontId="4" type="noConversion"/>
  </si>
  <si>
    <t>{'word': '율동 체조', 'start_idx': 106, 'end_idx': 110, 'type': 'SPR'}</t>
    <phoneticPr fontId="4" type="noConversion"/>
  </si>
  <si>
    <t>no_relation</t>
    <phoneticPr fontId="4" type="noConversion"/>
  </si>
  <si>
    <t>{'word': '레이백(layback) 스핀', 'start_idx': 0, 'end_idx': 14, 'type': 'POH'}</t>
    <phoneticPr fontId="4" type="noConversion"/>
  </si>
  <si>
    <t>{'word': '업라이트 스핀', 'start_idx': 28, 'end_idx': 34, 'type': 'POH'}</t>
    <phoneticPr fontId="4" type="noConversion"/>
  </si>
  <si>
    <t>{'word': '자유형', 'start_idx': 16, 'end_idx': 18, 'type': 'SPR'}</t>
    <phoneticPr fontId="4" type="noConversion"/>
  </si>
  <si>
    <t>{'word': '크롤 영법', 'start_idx': 30, 'end_idx': 34, 'type': 'POH'}</t>
    <phoneticPr fontId="4" type="noConversion"/>
  </si>
  <si>
    <r>
      <t>플뢰레</t>
    </r>
    <r>
      <rPr>
        <sz val="11"/>
        <color rgb="FF000000"/>
        <rFont val="맑은 고딕"/>
        <family val="3"/>
        <charset val="129"/>
        <scheme val="minor"/>
      </rPr>
      <t xml:space="preserve">(Fleuret)는 몸통을 표적으로 하는 </t>
    </r>
    <r>
      <rPr>
        <b/>
        <sz val="11"/>
        <color rgb="FF0000FF"/>
        <rFont val="맑은 고딕"/>
        <family val="3"/>
        <charset val="129"/>
        <scheme val="minor"/>
      </rPr>
      <t>찌르기</t>
    </r>
    <r>
      <rPr>
        <sz val="11"/>
        <color rgb="FF000000"/>
        <rFont val="맑은 고딕"/>
        <family val="3"/>
        <charset val="129"/>
        <scheme val="minor"/>
      </rPr>
      <t>형 경량 무기로, 등도 유효한 표적이나, 팔은 유효한 표적이 아니다.</t>
    </r>
    <phoneticPr fontId="4" type="noConversion"/>
  </si>
  <si>
    <t>플뢰레</t>
    <phoneticPr fontId="4" type="noConversion"/>
  </si>
  <si>
    <t>찌르기</t>
    <phoneticPr fontId="4" type="noConversion"/>
  </si>
  <si>
    <t>anno_add</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</si>
</sst>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맑은 고딕"/>
      <family val="2"/>
      <scheme val="minor"/>
    </font>
    <font>
      <b/>
      <sz val="11"/>
      <color theme="1"/>
      <name val="Arial"/>
      <family val="2"/>
    </font>
    <font>
      <sz val="11"/>
      <color theme="1"/>
      <name val="Arial"/>
      <family val="2"/>
    </font>
    <font>
      <sz val="10"/>
      <color theme="1"/>
      <name val="Arial"/>
      <family val="2"/>
    </font>
    <font>
      <sz val="8"/>
      <name val="맑은 고딕"/>
      <family val="3"/>
      <charset val="129"/>
      <scheme val="minor"/>
    </font>
    <font>
      <b/>
      <sz val="11"/>
      <color theme="1"/>
      <name val="맑은 고딕"/>
      <family val="3"/>
      <charset val="129"/>
      <scheme val="minor"/>
    </font>
    <font>
      <sz val="11"/>
      <color theme="1"/>
      <name val="맑은 고딕"/>
      <family val="3"/>
      <charset val="129"/>
      <scheme val="minor"/>
    </font>
    <font>
      <b/>
      <sz val="11"/>
      <name val="맑은 고딕"/>
      <family val="3"/>
      <charset val="129"/>
      <scheme val="minor"/>
    </font>
    <font>
      <b/>
      <sz val="11"/>
      <color theme="4"/>
      <name val="맑은 고딕"/>
      <family val="3"/>
      <charset val="129"/>
      <scheme val="minor"/>
    </font>
    <font>
      <b/>
      <sz val="11"/>
      <color theme="7"/>
      <name val="맑은 고딕"/>
      <family val="3"/>
      <charset val="129"/>
      <scheme val="minor"/>
    </font>
    <font>
      <b/>
      <sz val="11"/>
      <color rgb="FFFF0000"/>
      <name val="맑은 고딕"/>
      <family val="3"/>
      <charset val="129"/>
      <scheme val="minor"/>
    </font>
    <font>
      <b/>
      <sz val="11"/>
      <color rgb="FF0000FF"/>
      <name val="맑은 고딕"/>
      <family val="3"/>
      <charset val="129"/>
      <scheme val="minor"/>
    </font>
    <font>
      <sz val="11"/>
      <name val="맑은 고딕"/>
      <family val="3"/>
      <charset val="129"/>
      <scheme val="minor"/>
    </font>
    <font>
      <sz val="11"/>
      <color rgb="FF000000"/>
      <name val="맑은 고딕"/>
      <family val="3"/>
      <charset val="129"/>
      <scheme val="minor"/>
    </font>
  </fonts>
  <fills count="10">
    <fill>
      <patternFill patternType="none"/>
    </fill>
    <fill>
      <patternFill patternType="gray125"/>
    </fill>
    <fill>
      <patternFill patternType="solid">
        <fgColor rgb="FFD9EAD3"/>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000000"/>
      </top>
      <bottom style="medium">
        <color rgb="FFCCCCCC"/>
      </bottom>
      <diagonal/>
    </border>
  </borders>
  <cellStyleXfs count="1">
    <xf numFmtId="0" fontId="0" fillId="0" borderId="0"/>
  </cellStyleXfs>
  <cellXfs count="44">
    <xf numFmtId="0" fontId="0" fillId="0" borderId="0" xfId="0"/>
    <xf numFmtId="0" fontId="1" fillId="2" borderId="1" xfId="0" applyFont="1" applyFill="1" applyBorder="1" applyAlignment="1">
      <alignment horizontal="center" vertical="top" wrapText="1"/>
    </xf>
    <xf numFmtId="0" fontId="1" fillId="2" borderId="2" xfId="0" applyFont="1" applyFill="1" applyBorder="1" applyAlignment="1">
      <alignment horizontal="center" vertical="top" wrapText="1"/>
    </xf>
    <xf numFmtId="0" fontId="2" fillId="0" borderId="3" xfId="0" applyFont="1" applyBorder="1" applyAlignment="1">
      <alignment horizontal="center" wrapText="1"/>
    </xf>
    <xf numFmtId="0" fontId="2" fillId="0" borderId="3" xfId="0" applyFont="1" applyBorder="1" applyAlignment="1">
      <alignment horizontal="center" vertical="center"/>
    </xf>
    <xf numFmtId="0" fontId="3" fillId="0" borderId="3" xfId="0" applyFont="1" applyBorder="1" applyAlignment="1">
      <alignment wrapText="1"/>
    </xf>
    <xf numFmtId="0" fontId="2" fillId="0" borderId="3" xfId="0" applyFont="1" applyBorder="1" applyAlignment="1">
      <alignment wrapText="1"/>
    </xf>
    <xf numFmtId="0" fontId="2" fillId="0" borderId="3" xfId="0" applyFont="1" applyBorder="1" applyAlignment="1">
      <alignment vertical="center"/>
    </xf>
    <xf numFmtId="0" fontId="0" fillId="0" borderId="0" xfId="0" applyAlignment="1">
      <alignment horizontal="center"/>
    </xf>
    <xf numFmtId="0" fontId="0" fillId="0" borderId="0" xfId="0" applyAlignment="1">
      <alignment horizontal="center"/>
    </xf>
    <xf numFmtId="0" fontId="5" fillId="3" borderId="0" xfId="0" applyFont="1" applyFill="1" applyAlignment="1">
      <alignment horizontal="center"/>
    </xf>
    <xf numFmtId="0" fontId="0" fillId="3" borderId="0" xfId="0" applyFill="1" applyAlignment="1">
      <alignment horizontal="center"/>
    </xf>
    <xf numFmtId="0" fontId="6" fillId="4" borderId="0" xfId="0" applyFont="1" applyFill="1" applyAlignment="1">
      <alignment horizontal="center"/>
    </xf>
    <xf numFmtId="0" fontId="0" fillId="4" borderId="0" xfId="0" applyFill="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0" fillId="0" borderId="0" xfId="0" applyAlignment="1">
      <alignment horizontal="center" vertical="center" wrapText="1" shrinkToFit="1"/>
    </xf>
    <xf numFmtId="0" fontId="0" fillId="0" borderId="0" xfId="0" applyAlignment="1">
      <alignment vertical="center" wrapText="1" shrinkToFit="1"/>
    </xf>
    <xf numFmtId="0" fontId="0" fillId="0" borderId="0" xfId="0" applyAlignment="1">
      <alignment horizontal="center" vertical="center"/>
    </xf>
    <xf numFmtId="0" fontId="0" fillId="0" borderId="0" xfId="0" applyAlignment="1">
      <alignment vertical="center"/>
    </xf>
    <xf numFmtId="0" fontId="5" fillId="0" borderId="0" xfId="0" applyFont="1" applyAlignment="1">
      <alignment horizontal="center" vertical="center"/>
    </xf>
    <xf numFmtId="0" fontId="5" fillId="0" borderId="0" xfId="0" applyFont="1" applyAlignment="1">
      <alignment horizontal="center" vertical="center" wrapText="1" shrinkToFit="1"/>
    </xf>
    <xf numFmtId="0" fontId="0" fillId="0" borderId="0" xfId="0" applyAlignment="1">
      <alignment horizontal="left"/>
    </xf>
    <xf numFmtId="0" fontId="5" fillId="6" borderId="0" xfId="0" applyFont="1" applyFill="1" applyAlignment="1">
      <alignment horizontal="center"/>
    </xf>
    <xf numFmtId="0" fontId="5" fillId="7" borderId="0" xfId="0" applyFont="1" applyFill="1" applyAlignment="1">
      <alignment horizontal="center"/>
    </xf>
    <xf numFmtId="0" fontId="8" fillId="0" borderId="0" xfId="0" applyFont="1" applyAlignment="1">
      <alignment horizontal="center" vertical="center"/>
    </xf>
    <xf numFmtId="0" fontId="8" fillId="0" borderId="0" xfId="0" applyFont="1" applyAlignment="1">
      <alignment horizontal="center" vertical="center" wrapText="1" shrinkToFit="1"/>
    </xf>
    <xf numFmtId="0" fontId="9" fillId="0" borderId="0" xfId="0" applyFont="1" applyAlignment="1">
      <alignment horizontal="center"/>
    </xf>
    <xf numFmtId="0" fontId="5" fillId="8" borderId="0" xfId="0" applyFont="1" applyFill="1" applyAlignment="1">
      <alignment horizontal="center"/>
    </xf>
    <xf numFmtId="0" fontId="0" fillId="9" borderId="0" xfId="0" applyFill="1" applyAlignment="1">
      <alignment horizontal="center"/>
    </xf>
    <xf numFmtId="0" fontId="0" fillId="0" borderId="0" xfId="0" applyAlignment="1">
      <alignment horizontal="center"/>
    </xf>
    <xf numFmtId="0" fontId="5" fillId="3" borderId="0" xfId="0" applyFont="1" applyFill="1" applyAlignment="1">
      <alignment horizontal="center"/>
    </xf>
    <xf numFmtId="0" fontId="5" fillId="5" borderId="0" xfId="0" applyFont="1" applyFill="1" applyAlignment="1">
      <alignment horizontal="center" vertical="center"/>
    </xf>
    <xf numFmtId="0" fontId="0" fillId="0" borderId="0" xfId="0" applyAlignment="1">
      <alignment horizontal="center"/>
    </xf>
    <xf numFmtId="0" fontId="0" fillId="0" borderId="0" xfId="0" applyAlignment="1">
      <alignment horizontal="left" vertical="center"/>
    </xf>
    <xf numFmtId="0" fontId="12" fillId="0" borderId="0" xfId="0" applyFont="1" applyAlignment="1">
      <alignment horizontal="center" vertical="center" wrapText="1" shrinkToFit="1"/>
    </xf>
    <xf numFmtId="0" fontId="0" fillId="0" borderId="0" xfId="0" applyAlignment="1">
      <alignment horizontal="center" vertical="center" wrapText="1" shrinkToFit="1"/>
    </xf>
    <xf numFmtId="0" fontId="0" fillId="0" borderId="0" xfId="0" applyAlignment="1">
      <alignment horizontal="left" vertical="center" wrapText="1" shrinkToFit="1"/>
    </xf>
    <xf numFmtId="0" fontId="0" fillId="0" borderId="0" xfId="0" quotePrefix="1"/>
    <xf numFmtId="0" fontId="10" fillId="0" borderId="0" xfId="0" applyFont="1" applyAlignment="1">
      <alignment horizontal="center" vertical="center" wrapText="1" shrinkToFit="1"/>
    </xf>
    <xf numFmtId="0" fontId="2" fillId="0" borderId="4" xfId="0" applyFont="1" applyBorder="1" applyAlignment="1">
      <alignment horizontal="center" wrapText="1"/>
    </xf>
    <xf numFmtId="0" fontId="2" fillId="0" borderId="4" xfId="0" applyFont="1" applyBorder="1" applyAlignment="1">
      <alignment horizontal="center" vertical="center"/>
    </xf>
    <xf numFmtId="0" fontId="3" fillId="0" borderId="4" xfId="0" applyFont="1" applyBorder="1" applyAlignment="1">
      <alignment wrapText="1"/>
    </xf>
    <xf numFmtId="0" fontId="3" fillId="0" borderId="3" xfId="0" applyFont="1" applyBorder="1" applyAlignment="1">
      <alignment vertical="center"/>
    </xf>
  </cellXfs>
  <cellStyles count="1">
    <cellStyle name="표준"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15240</xdr:colOff>
      <xdr:row>1</xdr:row>
      <xdr:rowOff>45720</xdr:rowOff>
    </xdr:from>
    <xdr:to>
      <xdr:col>12</xdr:col>
      <xdr:colOff>998220</xdr:colOff>
      <xdr:row>2</xdr:row>
      <xdr:rowOff>198120</xdr:rowOff>
    </xdr:to>
    <xdr:sp macro="[0]!Refresh" textlink="">
      <xdr:nvSpPr>
        <xdr:cNvPr id="2" name="직사각형 1">
          <a:extLst>
            <a:ext uri="{FF2B5EF4-FFF2-40B4-BE49-F238E27FC236}">
              <a16:creationId xmlns:a16="http://schemas.microsoft.com/office/drawing/2014/main" id="{74ABB5C5-6587-4A32-9C10-2F6B90586C4D}"/>
            </a:ext>
          </a:extLst>
        </xdr:cNvPr>
        <xdr:cNvSpPr/>
      </xdr:nvSpPr>
      <xdr:spPr>
        <a:xfrm>
          <a:off x="7703820" y="266700"/>
          <a:ext cx="982980" cy="37338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altLang="ko-KR" sz="1600" b="1"/>
            <a:t>Refresh</a:t>
          </a:r>
          <a:endParaRPr lang="ko-KR" altLang="en-US" sz="1600" b="1"/>
        </a:p>
      </xdr:txBody>
    </xdr:sp>
    <xdr:clientData/>
  </xdr:twoCellAnchor>
  <xdr:twoCellAnchor>
    <xdr:from>
      <xdr:col>12</xdr:col>
      <xdr:colOff>0</xdr:colOff>
      <xdr:row>16</xdr:row>
      <xdr:rowOff>53340</xdr:rowOff>
    </xdr:from>
    <xdr:to>
      <xdr:col>12</xdr:col>
      <xdr:colOff>982980</xdr:colOff>
      <xdr:row>17</xdr:row>
      <xdr:rowOff>205740</xdr:rowOff>
    </xdr:to>
    <xdr:sp macro="[0]!_xludf.Save" textlink="">
      <xdr:nvSpPr>
        <xdr:cNvPr id="3" name="직사각형 2">
          <a:extLst>
            <a:ext uri="{FF2B5EF4-FFF2-40B4-BE49-F238E27FC236}">
              <a16:creationId xmlns:a16="http://schemas.microsoft.com/office/drawing/2014/main" id="{45748E30-DBF5-4AC8-9377-CAF22FB951A3}"/>
            </a:ext>
          </a:extLst>
        </xdr:cNvPr>
        <xdr:cNvSpPr/>
      </xdr:nvSpPr>
      <xdr:spPr>
        <a:xfrm>
          <a:off x="7688580" y="3589020"/>
          <a:ext cx="982980" cy="37338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altLang="ko-KR" sz="1600" b="1"/>
            <a:t>Save</a:t>
          </a:r>
          <a:endParaRPr lang="ko-KR" altLang="en-US" sz="16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CF97D-6576-433F-9B5C-2EB8050C837B}">
  <sheetPr codeName="Sheet1"/>
  <dimension ref="A1:R1363"/>
  <sheetViews>
    <sheetView topLeftCell="A238" workbookViewId="0">
      <selection activeCell="A239" sqref="A239"/>
    </sheetView>
  </sheetViews>
  <sheetFormatPr defaultRowHeight="17.399999999999999"/>
  <cols>
    <col min="3" max="3" width="55.796875" customWidth="1"/>
  </cols>
  <sheetData>
    <row r="1" spans="1:7" ht="28.2" thickBot="1">
      <c r="A1" s="1" t="s">
        <v>0</v>
      </c>
      <c r="B1" s="2" t="s">
        <v>654</v>
      </c>
      <c r="C1" s="2" t="s">
        <v>1</v>
      </c>
      <c r="D1" s="2" t="s">
        <v>2</v>
      </c>
      <c r="E1" s="2" t="s">
        <v>3</v>
      </c>
      <c r="F1" s="2" t="s">
        <v>655</v>
      </c>
      <c r="G1" s="2" t="s">
        <v>656</v>
      </c>
    </row>
    <row r="2" spans="1:7" ht="99" thickBot="1">
      <c r="A2" s="40">
        <v>0</v>
      </c>
      <c r="B2" s="40" t="s">
        <v>657</v>
      </c>
      <c r="C2" s="40" t="s">
        <v>4</v>
      </c>
      <c r="D2" s="40" t="s">
        <v>1659</v>
      </c>
      <c r="E2" s="41" t="s">
        <v>1660</v>
      </c>
      <c r="F2" s="42"/>
      <c r="G2" s="42"/>
    </row>
    <row r="3" spans="1:7" ht="99" thickBot="1">
      <c r="A3" s="3">
        <v>1</v>
      </c>
      <c r="B3" s="3" t="s">
        <v>657</v>
      </c>
      <c r="C3" s="3" t="s">
        <v>5</v>
      </c>
      <c r="D3" s="3" t="s">
        <v>6</v>
      </c>
      <c r="E3" s="4" t="s">
        <v>7</v>
      </c>
      <c r="F3" s="5"/>
      <c r="G3" s="5"/>
    </row>
    <row r="4" spans="1:7" ht="112.8" thickBot="1">
      <c r="A4" s="3">
        <v>2</v>
      </c>
      <c r="B4" s="3" t="s">
        <v>657</v>
      </c>
      <c r="C4" s="3" t="s">
        <v>8</v>
      </c>
      <c r="D4" s="3" t="s">
        <v>9</v>
      </c>
      <c r="E4" s="4" t="s">
        <v>10</v>
      </c>
      <c r="F4" s="5"/>
      <c r="G4" s="5"/>
    </row>
    <row r="5" spans="1:7" ht="112.8" thickBot="1">
      <c r="A5" s="3">
        <v>3</v>
      </c>
      <c r="B5" s="3" t="s">
        <v>657</v>
      </c>
      <c r="C5" s="3" t="s">
        <v>11</v>
      </c>
      <c r="D5" s="3" t="s">
        <v>12</v>
      </c>
      <c r="E5" s="4" t="s">
        <v>13</v>
      </c>
      <c r="F5" s="5"/>
      <c r="G5" s="5"/>
    </row>
    <row r="6" spans="1:7" ht="99" thickBot="1">
      <c r="A6" s="3">
        <v>4</v>
      </c>
      <c r="B6" s="3" t="s">
        <v>657</v>
      </c>
      <c r="C6" s="3" t="s">
        <v>14</v>
      </c>
      <c r="D6" s="3" t="s">
        <v>15</v>
      </c>
      <c r="E6" s="4" t="s">
        <v>16</v>
      </c>
      <c r="F6" s="5"/>
      <c r="G6" s="5"/>
    </row>
    <row r="7" spans="1:7" ht="112.8" thickBot="1">
      <c r="A7" s="3">
        <v>5</v>
      </c>
      <c r="B7" s="3" t="s">
        <v>657</v>
      </c>
      <c r="C7" s="3" t="s">
        <v>17</v>
      </c>
      <c r="D7" s="3" t="s">
        <v>18</v>
      </c>
      <c r="E7" s="4" t="s">
        <v>19</v>
      </c>
      <c r="F7" s="5"/>
      <c r="G7" s="5"/>
    </row>
    <row r="8" spans="1:7" ht="112.8" thickBot="1">
      <c r="A8" s="3">
        <v>6</v>
      </c>
      <c r="B8" s="3" t="s">
        <v>657</v>
      </c>
      <c r="C8" s="3" t="s">
        <v>20</v>
      </c>
      <c r="D8" s="3" t="s">
        <v>21</v>
      </c>
      <c r="E8" s="4" t="s">
        <v>22</v>
      </c>
      <c r="F8" s="5"/>
      <c r="G8" s="5"/>
    </row>
    <row r="9" spans="1:7" ht="112.8" thickBot="1">
      <c r="A9" s="3">
        <v>7</v>
      </c>
      <c r="B9" s="3" t="s">
        <v>657</v>
      </c>
      <c r="C9" s="3" t="s">
        <v>23</v>
      </c>
      <c r="D9" s="3" t="s">
        <v>24</v>
      </c>
      <c r="E9" s="4" t="s">
        <v>25</v>
      </c>
      <c r="F9" s="5"/>
      <c r="G9" s="5"/>
    </row>
    <row r="10" spans="1:7" ht="99" thickBot="1">
      <c r="A10" s="3">
        <v>8</v>
      </c>
      <c r="B10" s="3" t="s">
        <v>657</v>
      </c>
      <c r="C10" s="3" t="s">
        <v>658</v>
      </c>
      <c r="D10" s="3" t="s">
        <v>26</v>
      </c>
      <c r="E10" s="4" t="s">
        <v>27</v>
      </c>
      <c r="F10" s="5"/>
      <c r="G10" s="5"/>
    </row>
    <row r="11" spans="1:7" ht="99" thickBot="1">
      <c r="A11" s="3">
        <v>9</v>
      </c>
      <c r="B11" s="3" t="s">
        <v>657</v>
      </c>
      <c r="C11" s="3" t="s">
        <v>28</v>
      </c>
      <c r="D11" s="3" t="s">
        <v>26</v>
      </c>
      <c r="E11" s="4" t="s">
        <v>29</v>
      </c>
      <c r="F11" s="5"/>
      <c r="G11" s="5"/>
    </row>
    <row r="12" spans="1:7" ht="112.8" thickBot="1">
      <c r="A12" s="3">
        <v>10</v>
      </c>
      <c r="B12" s="3" t="s">
        <v>657</v>
      </c>
      <c r="C12" s="3" t="s">
        <v>30</v>
      </c>
      <c r="D12" s="3" t="s">
        <v>31</v>
      </c>
      <c r="E12" s="4" t="s">
        <v>32</v>
      </c>
      <c r="F12" s="5"/>
      <c r="G12" s="5"/>
    </row>
    <row r="13" spans="1:7" ht="99" thickBot="1">
      <c r="A13" s="3">
        <v>11</v>
      </c>
      <c r="B13" s="3" t="s">
        <v>657</v>
      </c>
      <c r="C13" s="3" t="s">
        <v>33</v>
      </c>
      <c r="D13" s="3" t="s">
        <v>34</v>
      </c>
      <c r="E13" s="4" t="s">
        <v>35</v>
      </c>
      <c r="F13" s="5"/>
      <c r="G13" s="5"/>
    </row>
    <row r="14" spans="1:7" ht="99" thickBot="1">
      <c r="A14" s="3">
        <v>12</v>
      </c>
      <c r="B14" s="3" t="s">
        <v>657</v>
      </c>
      <c r="C14" s="3" t="s">
        <v>36</v>
      </c>
      <c r="D14" s="3" t="s">
        <v>37</v>
      </c>
      <c r="E14" s="4" t="s">
        <v>38</v>
      </c>
      <c r="F14" s="5"/>
      <c r="G14" s="5"/>
    </row>
    <row r="15" spans="1:7" ht="99" thickBot="1">
      <c r="A15" s="3">
        <v>13</v>
      </c>
      <c r="B15" s="3" t="s">
        <v>657</v>
      </c>
      <c r="C15" s="3" t="s">
        <v>39</v>
      </c>
      <c r="D15" s="3" t="s">
        <v>40</v>
      </c>
      <c r="E15" s="4" t="s">
        <v>41</v>
      </c>
      <c r="F15" s="5"/>
      <c r="G15" s="5"/>
    </row>
    <row r="16" spans="1:7" ht="99" thickBot="1">
      <c r="A16" s="3">
        <v>14</v>
      </c>
      <c r="B16" s="3" t="s">
        <v>657</v>
      </c>
      <c r="C16" s="3" t="s">
        <v>42</v>
      </c>
      <c r="D16" s="3" t="s">
        <v>43</v>
      </c>
      <c r="E16" s="4" t="s">
        <v>44</v>
      </c>
      <c r="F16" s="5"/>
      <c r="G16" s="5"/>
    </row>
    <row r="17" spans="1:7" ht="112.8" thickBot="1">
      <c r="A17" s="3">
        <v>15</v>
      </c>
      <c r="B17" s="3" t="s">
        <v>657</v>
      </c>
      <c r="C17" s="3" t="s">
        <v>45</v>
      </c>
      <c r="D17" s="3" t="s">
        <v>46</v>
      </c>
      <c r="E17" s="4" t="s">
        <v>47</v>
      </c>
      <c r="F17" s="5"/>
      <c r="G17" s="5"/>
    </row>
    <row r="18" spans="1:7" ht="112.8" thickBot="1">
      <c r="A18" s="3">
        <v>16</v>
      </c>
      <c r="B18" s="3" t="s">
        <v>657</v>
      </c>
      <c r="C18" s="3" t="s">
        <v>48</v>
      </c>
      <c r="D18" s="3" t="s">
        <v>49</v>
      </c>
      <c r="E18" s="4" t="s">
        <v>50</v>
      </c>
      <c r="F18" s="5"/>
      <c r="G18" s="5"/>
    </row>
    <row r="19" spans="1:7" ht="112.8" thickBot="1">
      <c r="A19" s="3">
        <v>17</v>
      </c>
      <c r="B19" s="3" t="s">
        <v>657</v>
      </c>
      <c r="C19" s="3" t="s">
        <v>51</v>
      </c>
      <c r="D19" s="3" t="s">
        <v>52</v>
      </c>
      <c r="E19" s="4" t="s">
        <v>53</v>
      </c>
      <c r="F19" s="5"/>
      <c r="G19" s="5"/>
    </row>
    <row r="20" spans="1:7" ht="112.8" thickBot="1">
      <c r="A20" s="3">
        <v>18</v>
      </c>
      <c r="B20" s="3" t="s">
        <v>657</v>
      </c>
      <c r="C20" s="3" t="s">
        <v>54</v>
      </c>
      <c r="D20" s="3" t="s">
        <v>55</v>
      </c>
      <c r="E20" s="4" t="s">
        <v>56</v>
      </c>
      <c r="F20" s="5"/>
      <c r="G20" s="5"/>
    </row>
    <row r="21" spans="1:7" ht="99" thickBot="1">
      <c r="A21" s="3">
        <v>19</v>
      </c>
      <c r="B21" s="3" t="s">
        <v>657</v>
      </c>
      <c r="C21" s="3" t="s">
        <v>57</v>
      </c>
      <c r="D21" s="3" t="s">
        <v>58</v>
      </c>
      <c r="E21" s="4" t="s">
        <v>59</v>
      </c>
      <c r="F21" s="5"/>
      <c r="G21" s="5"/>
    </row>
    <row r="22" spans="1:7" ht="126.6" thickBot="1">
      <c r="A22" s="3">
        <v>20</v>
      </c>
      <c r="B22" s="3" t="s">
        <v>657</v>
      </c>
      <c r="C22" s="3" t="s">
        <v>60</v>
      </c>
      <c r="D22" s="3" t="s">
        <v>61</v>
      </c>
      <c r="E22" s="4" t="s">
        <v>62</v>
      </c>
      <c r="F22" s="5"/>
      <c r="G22" s="5"/>
    </row>
    <row r="23" spans="1:7" ht="140.4" thickBot="1">
      <c r="A23" s="3">
        <v>21</v>
      </c>
      <c r="B23" s="3" t="s">
        <v>657</v>
      </c>
      <c r="C23" s="3" t="s">
        <v>63</v>
      </c>
      <c r="D23" s="3" t="s">
        <v>64</v>
      </c>
      <c r="E23" s="4" t="s">
        <v>65</v>
      </c>
      <c r="F23" s="5"/>
      <c r="G23" s="5"/>
    </row>
    <row r="24" spans="1:7" ht="112.8" thickBot="1">
      <c r="A24" s="3">
        <v>22</v>
      </c>
      <c r="B24" s="3" t="s">
        <v>657</v>
      </c>
      <c r="C24" s="3" t="s">
        <v>66</v>
      </c>
      <c r="D24" s="3" t="s">
        <v>67</v>
      </c>
      <c r="E24" s="4" t="s">
        <v>68</v>
      </c>
      <c r="F24" s="5"/>
      <c r="G24" s="5"/>
    </row>
    <row r="25" spans="1:7" ht="99" thickBot="1">
      <c r="A25" s="3">
        <v>23</v>
      </c>
      <c r="B25" s="3" t="s">
        <v>657</v>
      </c>
      <c r="C25" s="3" t="s">
        <v>69</v>
      </c>
      <c r="D25" s="3" t="s">
        <v>70</v>
      </c>
      <c r="E25" s="4" t="s">
        <v>71</v>
      </c>
      <c r="F25" s="5"/>
      <c r="G25" s="5"/>
    </row>
    <row r="26" spans="1:7" ht="112.8" thickBot="1">
      <c r="A26" s="3">
        <v>24</v>
      </c>
      <c r="B26" s="3" t="s">
        <v>657</v>
      </c>
      <c r="C26" s="3" t="s">
        <v>72</v>
      </c>
      <c r="D26" s="3" t="s">
        <v>73</v>
      </c>
      <c r="E26" s="4" t="s">
        <v>74</v>
      </c>
      <c r="F26" s="5"/>
      <c r="G26" s="5"/>
    </row>
    <row r="27" spans="1:7" ht="112.8" thickBot="1">
      <c r="A27" s="3">
        <v>25</v>
      </c>
      <c r="B27" s="3" t="s">
        <v>657</v>
      </c>
      <c r="C27" s="3" t="s">
        <v>75</v>
      </c>
      <c r="D27" s="3" t="s">
        <v>76</v>
      </c>
      <c r="E27" s="4" t="s">
        <v>77</v>
      </c>
      <c r="F27" s="5"/>
      <c r="G27" s="5"/>
    </row>
    <row r="28" spans="1:7" ht="99" thickBot="1">
      <c r="A28" s="3">
        <v>26</v>
      </c>
      <c r="B28" s="3" t="s">
        <v>657</v>
      </c>
      <c r="C28" s="3" t="s">
        <v>78</v>
      </c>
      <c r="D28" s="3" t="s">
        <v>79</v>
      </c>
      <c r="E28" s="4" t="s">
        <v>80</v>
      </c>
      <c r="F28" s="5"/>
      <c r="G28" s="5"/>
    </row>
    <row r="29" spans="1:7" ht="112.8" thickBot="1">
      <c r="A29" s="3">
        <v>27</v>
      </c>
      <c r="B29" s="3" t="s">
        <v>657</v>
      </c>
      <c r="C29" s="3" t="s">
        <v>81</v>
      </c>
      <c r="D29" s="3" t="s">
        <v>82</v>
      </c>
      <c r="E29" s="4" t="s">
        <v>83</v>
      </c>
      <c r="F29" s="5"/>
      <c r="G29" s="5"/>
    </row>
    <row r="30" spans="1:7" ht="99" thickBot="1">
      <c r="A30" s="3">
        <v>28</v>
      </c>
      <c r="B30" s="3" t="s">
        <v>657</v>
      </c>
      <c r="C30" s="3" t="s">
        <v>84</v>
      </c>
      <c r="D30" s="3" t="s">
        <v>85</v>
      </c>
      <c r="E30" s="4" t="s">
        <v>86</v>
      </c>
      <c r="F30" s="5"/>
      <c r="G30" s="5"/>
    </row>
    <row r="31" spans="1:7" ht="99" thickBot="1">
      <c r="A31" s="3">
        <v>29</v>
      </c>
      <c r="B31" s="3" t="s">
        <v>657</v>
      </c>
      <c r="C31" s="3" t="s">
        <v>87</v>
      </c>
      <c r="D31" s="3" t="s">
        <v>88</v>
      </c>
      <c r="E31" s="4" t="s">
        <v>89</v>
      </c>
      <c r="F31" s="5"/>
      <c r="G31" s="5"/>
    </row>
    <row r="32" spans="1:7" ht="112.8" thickBot="1">
      <c r="A32" s="3">
        <v>30</v>
      </c>
      <c r="B32" s="3" t="s">
        <v>657</v>
      </c>
      <c r="C32" s="3" t="s">
        <v>90</v>
      </c>
      <c r="D32" s="3" t="s">
        <v>91</v>
      </c>
      <c r="E32" s="4" t="s">
        <v>92</v>
      </c>
      <c r="F32" s="5"/>
      <c r="G32" s="5"/>
    </row>
    <row r="33" spans="1:7" ht="112.8" thickBot="1">
      <c r="A33" s="3">
        <v>31</v>
      </c>
      <c r="B33" s="3" t="s">
        <v>657</v>
      </c>
      <c r="C33" s="3" t="s">
        <v>93</v>
      </c>
      <c r="D33" s="3" t="s">
        <v>94</v>
      </c>
      <c r="E33" s="4" t="s">
        <v>95</v>
      </c>
      <c r="F33" s="5"/>
      <c r="G33" s="5"/>
    </row>
    <row r="34" spans="1:7" ht="99" thickBot="1">
      <c r="A34" s="3">
        <v>32</v>
      </c>
      <c r="B34" s="3" t="s">
        <v>657</v>
      </c>
      <c r="C34" s="3" t="s">
        <v>96</v>
      </c>
      <c r="D34" s="3" t="s">
        <v>97</v>
      </c>
      <c r="E34" s="4" t="s">
        <v>98</v>
      </c>
      <c r="F34" s="5"/>
      <c r="G34" s="5"/>
    </row>
    <row r="35" spans="1:7" ht="112.8" thickBot="1">
      <c r="A35" s="3">
        <v>33</v>
      </c>
      <c r="B35" s="3" t="s">
        <v>657</v>
      </c>
      <c r="C35" s="3" t="s">
        <v>99</v>
      </c>
      <c r="D35" s="3" t="s">
        <v>100</v>
      </c>
      <c r="E35" s="4" t="s">
        <v>101</v>
      </c>
      <c r="F35" s="5"/>
      <c r="G35" s="5"/>
    </row>
    <row r="36" spans="1:7" ht="99" thickBot="1">
      <c r="A36" s="3">
        <v>34</v>
      </c>
      <c r="B36" s="3" t="s">
        <v>657</v>
      </c>
      <c r="C36" s="3" t="s">
        <v>102</v>
      </c>
      <c r="D36" s="3" t="s">
        <v>15</v>
      </c>
      <c r="E36" s="4" t="s">
        <v>103</v>
      </c>
      <c r="F36" s="5"/>
      <c r="G36" s="5"/>
    </row>
    <row r="37" spans="1:7" ht="126.6" thickBot="1">
      <c r="A37" s="3">
        <v>35</v>
      </c>
      <c r="B37" s="3" t="s">
        <v>657</v>
      </c>
      <c r="C37" s="3" t="s">
        <v>104</v>
      </c>
      <c r="D37" s="3" t="s">
        <v>105</v>
      </c>
      <c r="E37" s="4" t="s">
        <v>106</v>
      </c>
      <c r="F37" s="5"/>
      <c r="G37" s="5"/>
    </row>
    <row r="38" spans="1:7" ht="112.8" thickBot="1">
      <c r="A38" s="3">
        <v>36</v>
      </c>
      <c r="B38" s="3" t="s">
        <v>657</v>
      </c>
      <c r="C38" s="3" t="s">
        <v>107</v>
      </c>
      <c r="D38" s="3" t="s">
        <v>21</v>
      </c>
      <c r="E38" s="4" t="s">
        <v>108</v>
      </c>
      <c r="F38" s="5"/>
      <c r="G38" s="5"/>
    </row>
    <row r="39" spans="1:7" ht="112.8" thickBot="1">
      <c r="A39" s="3">
        <v>37</v>
      </c>
      <c r="B39" s="3" t="s">
        <v>657</v>
      </c>
      <c r="C39" s="3" t="s">
        <v>109</v>
      </c>
      <c r="D39" s="3" t="s">
        <v>110</v>
      </c>
      <c r="E39" s="4" t="s">
        <v>111</v>
      </c>
      <c r="F39" s="5"/>
      <c r="G39" s="5"/>
    </row>
    <row r="40" spans="1:7" ht="112.8" thickBot="1">
      <c r="A40" s="3">
        <v>38</v>
      </c>
      <c r="B40" s="3" t="s">
        <v>657</v>
      </c>
      <c r="C40" s="3" t="s">
        <v>112</v>
      </c>
      <c r="D40" s="3" t="s">
        <v>113</v>
      </c>
      <c r="E40" s="4" t="s">
        <v>114</v>
      </c>
      <c r="F40" s="5"/>
      <c r="G40" s="5"/>
    </row>
    <row r="41" spans="1:7" ht="99" thickBot="1">
      <c r="A41" s="3">
        <v>39</v>
      </c>
      <c r="B41" s="3" t="s">
        <v>657</v>
      </c>
      <c r="C41" s="3" t="s">
        <v>115</v>
      </c>
      <c r="D41" s="3" t="s">
        <v>15</v>
      </c>
      <c r="E41" s="4" t="s">
        <v>116</v>
      </c>
      <c r="F41" s="5"/>
      <c r="G41" s="5"/>
    </row>
    <row r="42" spans="1:7" ht="112.8" thickBot="1">
      <c r="A42" s="3">
        <v>40</v>
      </c>
      <c r="B42" s="3" t="s">
        <v>657</v>
      </c>
      <c r="C42" s="3" t="s">
        <v>117</v>
      </c>
      <c r="D42" s="3" t="s">
        <v>21</v>
      </c>
      <c r="E42" s="4" t="s">
        <v>118</v>
      </c>
      <c r="F42" s="5"/>
      <c r="G42" s="5"/>
    </row>
    <row r="43" spans="1:7" ht="99" thickBot="1">
      <c r="A43" s="3">
        <v>41</v>
      </c>
      <c r="B43" s="3" t="s">
        <v>657</v>
      </c>
      <c r="C43" s="3" t="s">
        <v>119</v>
      </c>
      <c r="D43" s="3" t="s">
        <v>120</v>
      </c>
      <c r="E43" s="4" t="s">
        <v>121</v>
      </c>
      <c r="F43" s="5"/>
      <c r="G43" s="5"/>
    </row>
    <row r="44" spans="1:7" ht="99" thickBot="1">
      <c r="A44" s="3">
        <v>42</v>
      </c>
      <c r="B44" s="3" t="s">
        <v>657</v>
      </c>
      <c r="C44" s="3" t="s">
        <v>122</v>
      </c>
      <c r="D44" s="3" t="s">
        <v>26</v>
      </c>
      <c r="E44" s="4" t="s">
        <v>123</v>
      </c>
      <c r="F44" s="5"/>
      <c r="G44" s="5"/>
    </row>
    <row r="45" spans="1:7" ht="99" thickBot="1">
      <c r="A45" s="3">
        <v>43</v>
      </c>
      <c r="B45" s="3" t="s">
        <v>657</v>
      </c>
      <c r="C45" s="3" t="s">
        <v>124</v>
      </c>
      <c r="D45" s="3" t="s">
        <v>26</v>
      </c>
      <c r="E45" s="4" t="s">
        <v>125</v>
      </c>
      <c r="F45" s="5"/>
      <c r="G45" s="5"/>
    </row>
    <row r="46" spans="1:7" ht="126.6" thickBot="1">
      <c r="A46" s="3">
        <v>44</v>
      </c>
      <c r="B46" s="3" t="s">
        <v>657</v>
      </c>
      <c r="C46" s="3" t="s">
        <v>126</v>
      </c>
      <c r="D46" s="3" t="s">
        <v>127</v>
      </c>
      <c r="E46" s="4" t="s">
        <v>128</v>
      </c>
      <c r="F46" s="5"/>
      <c r="G46" s="5"/>
    </row>
    <row r="47" spans="1:7" ht="99" thickBot="1">
      <c r="A47" s="3">
        <v>45</v>
      </c>
      <c r="B47" s="3" t="s">
        <v>657</v>
      </c>
      <c r="C47" s="3" t="s">
        <v>129</v>
      </c>
      <c r="D47" s="3" t="s">
        <v>26</v>
      </c>
      <c r="E47" s="4" t="s">
        <v>130</v>
      </c>
      <c r="F47" s="5"/>
      <c r="G47" s="5"/>
    </row>
    <row r="48" spans="1:7" ht="99" thickBot="1">
      <c r="A48" s="3">
        <v>46</v>
      </c>
      <c r="B48" s="3" t="s">
        <v>657</v>
      </c>
      <c r="C48" s="3" t="s">
        <v>131</v>
      </c>
      <c r="D48" s="3" t="s">
        <v>132</v>
      </c>
      <c r="E48" s="4" t="s">
        <v>133</v>
      </c>
      <c r="F48" s="5"/>
      <c r="G48" s="5"/>
    </row>
    <row r="49" spans="1:7" ht="99" thickBot="1">
      <c r="A49" s="3">
        <v>47</v>
      </c>
      <c r="B49" s="3" t="s">
        <v>657</v>
      </c>
      <c r="C49" s="3" t="s">
        <v>134</v>
      </c>
      <c r="D49" s="3" t="s">
        <v>85</v>
      </c>
      <c r="E49" s="4" t="s">
        <v>135</v>
      </c>
      <c r="F49" s="5"/>
      <c r="G49" s="5"/>
    </row>
    <row r="50" spans="1:7" ht="99" thickBot="1">
      <c r="A50" s="3">
        <v>48</v>
      </c>
      <c r="B50" s="3" t="s">
        <v>657</v>
      </c>
      <c r="C50" s="3" t="s">
        <v>136</v>
      </c>
      <c r="D50" s="3" t="s">
        <v>137</v>
      </c>
      <c r="E50" s="4" t="s">
        <v>138</v>
      </c>
      <c r="F50" s="5"/>
      <c r="G50" s="5"/>
    </row>
    <row r="51" spans="1:7" ht="112.8" thickBot="1">
      <c r="A51" s="3">
        <v>49</v>
      </c>
      <c r="B51" s="3" t="s">
        <v>657</v>
      </c>
      <c r="C51" s="3" t="s">
        <v>139</v>
      </c>
      <c r="D51" s="3" t="s">
        <v>140</v>
      </c>
      <c r="E51" s="4" t="s">
        <v>141</v>
      </c>
      <c r="F51" s="5"/>
      <c r="G51" s="5"/>
    </row>
    <row r="52" spans="1:7" ht="99" thickBot="1">
      <c r="A52" s="3">
        <v>50</v>
      </c>
      <c r="B52" s="3" t="s">
        <v>657</v>
      </c>
      <c r="C52" s="3" t="s">
        <v>142</v>
      </c>
      <c r="D52" s="3" t="s">
        <v>143</v>
      </c>
      <c r="E52" s="4" t="s">
        <v>144</v>
      </c>
      <c r="F52" s="5"/>
      <c r="G52" s="5"/>
    </row>
    <row r="53" spans="1:7" ht="99" thickBot="1">
      <c r="A53" s="3">
        <v>51</v>
      </c>
      <c r="B53" s="3" t="s">
        <v>657</v>
      </c>
      <c r="C53" s="3" t="s">
        <v>145</v>
      </c>
      <c r="D53" s="3" t="s">
        <v>146</v>
      </c>
      <c r="E53" s="4" t="s">
        <v>147</v>
      </c>
      <c r="F53" s="5"/>
      <c r="G53" s="5"/>
    </row>
    <row r="54" spans="1:7" ht="126.6" thickBot="1">
      <c r="A54" s="3">
        <v>52</v>
      </c>
      <c r="B54" s="3" t="s">
        <v>657</v>
      </c>
      <c r="C54" s="3" t="s">
        <v>148</v>
      </c>
      <c r="D54" s="3" t="s">
        <v>149</v>
      </c>
      <c r="E54" s="4" t="s">
        <v>150</v>
      </c>
      <c r="F54" s="5"/>
      <c r="G54" s="5"/>
    </row>
    <row r="55" spans="1:7" ht="99" thickBot="1">
      <c r="A55" s="3">
        <v>53</v>
      </c>
      <c r="B55" s="3" t="s">
        <v>657</v>
      </c>
      <c r="C55" s="3" t="s">
        <v>151</v>
      </c>
      <c r="D55" s="3" t="s">
        <v>152</v>
      </c>
      <c r="E55" s="4" t="s">
        <v>153</v>
      </c>
      <c r="F55" s="5"/>
      <c r="G55" s="5"/>
    </row>
    <row r="56" spans="1:7" ht="99" thickBot="1">
      <c r="A56" s="3">
        <v>54</v>
      </c>
      <c r="B56" s="3" t="s">
        <v>657</v>
      </c>
      <c r="C56" s="3" t="s">
        <v>154</v>
      </c>
      <c r="D56" s="3" t="s">
        <v>155</v>
      </c>
      <c r="E56" s="4" t="s">
        <v>156</v>
      </c>
      <c r="F56" s="5"/>
      <c r="G56" s="5"/>
    </row>
    <row r="57" spans="1:7" ht="99" thickBot="1">
      <c r="A57" s="3">
        <v>55</v>
      </c>
      <c r="B57" s="3" t="s">
        <v>657</v>
      </c>
      <c r="C57" s="3" t="s">
        <v>157</v>
      </c>
      <c r="D57" s="3" t="s">
        <v>158</v>
      </c>
      <c r="E57" s="4" t="s">
        <v>159</v>
      </c>
      <c r="F57" s="5"/>
      <c r="G57" s="5"/>
    </row>
    <row r="58" spans="1:7" ht="112.8" thickBot="1">
      <c r="A58" s="3">
        <v>56</v>
      </c>
      <c r="B58" s="3" t="s">
        <v>657</v>
      </c>
      <c r="C58" s="3" t="s">
        <v>160</v>
      </c>
      <c r="D58" s="3" t="s">
        <v>161</v>
      </c>
      <c r="E58" s="4" t="s">
        <v>162</v>
      </c>
      <c r="F58" s="5"/>
      <c r="G58" s="5"/>
    </row>
    <row r="59" spans="1:7" ht="112.8" thickBot="1">
      <c r="A59" s="3">
        <v>57</v>
      </c>
      <c r="B59" s="3" t="s">
        <v>657</v>
      </c>
      <c r="C59" s="3" t="s">
        <v>163</v>
      </c>
      <c r="D59" s="3" t="s">
        <v>164</v>
      </c>
      <c r="E59" s="4" t="s">
        <v>165</v>
      </c>
      <c r="F59" s="5"/>
      <c r="G59" s="5"/>
    </row>
    <row r="60" spans="1:7" ht="99" thickBot="1">
      <c r="A60" s="3">
        <v>58</v>
      </c>
      <c r="B60" s="3" t="s">
        <v>657</v>
      </c>
      <c r="C60" s="3" t="s">
        <v>166</v>
      </c>
      <c r="D60" s="3" t="s">
        <v>167</v>
      </c>
      <c r="E60" s="4" t="s">
        <v>168</v>
      </c>
      <c r="F60" s="5"/>
      <c r="G60" s="5"/>
    </row>
    <row r="61" spans="1:7" ht="112.8" thickBot="1">
      <c r="A61" s="3">
        <v>59</v>
      </c>
      <c r="B61" s="3" t="s">
        <v>657</v>
      </c>
      <c r="C61" s="3" t="s">
        <v>169</v>
      </c>
      <c r="D61" s="3" t="s">
        <v>170</v>
      </c>
      <c r="E61" s="4" t="s">
        <v>171</v>
      </c>
      <c r="F61" s="5"/>
      <c r="G61" s="5"/>
    </row>
    <row r="62" spans="1:7" ht="99" thickBot="1">
      <c r="A62" s="3">
        <v>60</v>
      </c>
      <c r="B62" s="3" t="s">
        <v>657</v>
      </c>
      <c r="C62" s="3" t="s">
        <v>172</v>
      </c>
      <c r="D62" s="3" t="s">
        <v>173</v>
      </c>
      <c r="E62" s="4" t="s">
        <v>174</v>
      </c>
      <c r="F62" s="5"/>
      <c r="G62" s="5"/>
    </row>
    <row r="63" spans="1:7" ht="99" thickBot="1">
      <c r="A63" s="3">
        <v>61</v>
      </c>
      <c r="B63" s="3" t="s">
        <v>657</v>
      </c>
      <c r="C63" s="3" t="s">
        <v>175</v>
      </c>
      <c r="D63" s="3" t="s">
        <v>176</v>
      </c>
      <c r="E63" s="4" t="s">
        <v>177</v>
      </c>
      <c r="F63" s="5"/>
      <c r="G63" s="5"/>
    </row>
    <row r="64" spans="1:7" ht="99" thickBot="1">
      <c r="A64" s="3">
        <v>62</v>
      </c>
      <c r="B64" s="3" t="s">
        <v>657</v>
      </c>
      <c r="C64" s="3" t="s">
        <v>178</v>
      </c>
      <c r="D64" s="3" t="s">
        <v>179</v>
      </c>
      <c r="E64" s="4" t="s">
        <v>180</v>
      </c>
      <c r="F64" s="5"/>
      <c r="G64" s="5"/>
    </row>
    <row r="65" spans="1:7" ht="99" thickBot="1">
      <c r="A65" s="3">
        <v>63</v>
      </c>
      <c r="B65" s="3" t="s">
        <v>657</v>
      </c>
      <c r="C65" s="3" t="s">
        <v>181</v>
      </c>
      <c r="D65" s="3" t="s">
        <v>182</v>
      </c>
      <c r="E65" s="4" t="s">
        <v>183</v>
      </c>
      <c r="F65" s="5"/>
      <c r="G65" s="5"/>
    </row>
    <row r="66" spans="1:7" ht="99" thickBot="1">
      <c r="A66" s="3">
        <v>64</v>
      </c>
      <c r="B66" s="3" t="s">
        <v>657</v>
      </c>
      <c r="C66" s="3" t="s">
        <v>184</v>
      </c>
      <c r="D66" s="3" t="s">
        <v>185</v>
      </c>
      <c r="E66" s="4" t="s">
        <v>186</v>
      </c>
      <c r="F66" s="5"/>
      <c r="G66" s="5"/>
    </row>
    <row r="67" spans="1:7" ht="112.8" thickBot="1">
      <c r="A67" s="3">
        <v>65</v>
      </c>
      <c r="B67" s="3" t="s">
        <v>657</v>
      </c>
      <c r="C67" s="3" t="s">
        <v>187</v>
      </c>
      <c r="D67" s="3" t="s">
        <v>188</v>
      </c>
      <c r="E67" s="4" t="s">
        <v>189</v>
      </c>
      <c r="F67" s="5"/>
      <c r="G67" s="5"/>
    </row>
    <row r="68" spans="1:7" ht="126.6" thickBot="1">
      <c r="A68" s="3">
        <v>66</v>
      </c>
      <c r="B68" s="3" t="s">
        <v>657</v>
      </c>
      <c r="C68" s="3" t="s">
        <v>190</v>
      </c>
      <c r="D68" s="3" t="s">
        <v>191</v>
      </c>
      <c r="E68" s="4" t="s">
        <v>192</v>
      </c>
      <c r="F68" s="5"/>
      <c r="G68" s="5"/>
    </row>
    <row r="69" spans="1:7" ht="99" thickBot="1">
      <c r="A69" s="3">
        <v>67</v>
      </c>
      <c r="B69" s="3" t="s">
        <v>657</v>
      </c>
      <c r="C69" s="3" t="s">
        <v>193</v>
      </c>
      <c r="D69" s="3" t="s">
        <v>194</v>
      </c>
      <c r="E69" s="4" t="s">
        <v>195</v>
      </c>
      <c r="F69" s="5"/>
      <c r="G69" s="5"/>
    </row>
    <row r="70" spans="1:7" ht="112.8" thickBot="1">
      <c r="A70" s="3">
        <v>68</v>
      </c>
      <c r="B70" s="3" t="s">
        <v>657</v>
      </c>
      <c r="C70" s="3" t="s">
        <v>196</v>
      </c>
      <c r="D70" s="3" t="s">
        <v>140</v>
      </c>
      <c r="E70" s="4" t="s">
        <v>197</v>
      </c>
      <c r="F70" s="5"/>
      <c r="G70" s="5"/>
    </row>
    <row r="71" spans="1:7" ht="112.8" thickBot="1">
      <c r="A71" s="3">
        <v>69</v>
      </c>
      <c r="B71" s="3" t="s">
        <v>657</v>
      </c>
      <c r="C71" s="3" t="s">
        <v>198</v>
      </c>
      <c r="D71" s="3" t="s">
        <v>82</v>
      </c>
      <c r="E71" s="4" t="s">
        <v>199</v>
      </c>
      <c r="F71" s="5"/>
      <c r="G71" s="5"/>
    </row>
    <row r="72" spans="1:7" ht="99" thickBot="1">
      <c r="A72" s="3">
        <v>70</v>
      </c>
      <c r="B72" s="3" t="s">
        <v>657</v>
      </c>
      <c r="C72" s="3" t="s">
        <v>200</v>
      </c>
      <c r="D72" s="3" t="s">
        <v>201</v>
      </c>
      <c r="E72" s="4" t="s">
        <v>202</v>
      </c>
      <c r="F72" s="5"/>
      <c r="G72" s="5"/>
    </row>
    <row r="73" spans="1:7" ht="112.8" thickBot="1">
      <c r="A73" s="3">
        <v>71</v>
      </c>
      <c r="B73" s="3" t="s">
        <v>657</v>
      </c>
      <c r="C73" s="3" t="s">
        <v>203</v>
      </c>
      <c r="D73" s="3" t="s">
        <v>204</v>
      </c>
      <c r="E73" s="4" t="s">
        <v>205</v>
      </c>
      <c r="F73" s="5"/>
      <c r="G73" s="5"/>
    </row>
    <row r="74" spans="1:7" ht="99" thickBot="1">
      <c r="A74" s="3">
        <v>72</v>
      </c>
      <c r="B74" s="3" t="s">
        <v>657</v>
      </c>
      <c r="C74" s="3" t="s">
        <v>206</v>
      </c>
      <c r="D74" s="3" t="s">
        <v>37</v>
      </c>
      <c r="E74" s="4" t="s">
        <v>207</v>
      </c>
      <c r="F74" s="5"/>
      <c r="G74" s="5"/>
    </row>
    <row r="75" spans="1:7" ht="99" thickBot="1">
      <c r="A75" s="3">
        <v>73</v>
      </c>
      <c r="B75" s="3" t="s">
        <v>657</v>
      </c>
      <c r="C75" s="3" t="s">
        <v>208</v>
      </c>
      <c r="D75" s="3" t="s">
        <v>209</v>
      </c>
      <c r="E75" s="4" t="s">
        <v>210</v>
      </c>
      <c r="F75" s="5"/>
      <c r="G75" s="5"/>
    </row>
    <row r="76" spans="1:7" ht="99" thickBot="1">
      <c r="A76" s="3">
        <v>74</v>
      </c>
      <c r="B76" s="3" t="s">
        <v>657</v>
      </c>
      <c r="C76" s="3" t="s">
        <v>659</v>
      </c>
      <c r="D76" s="3" t="s">
        <v>211</v>
      </c>
      <c r="E76" s="4" t="s">
        <v>212</v>
      </c>
      <c r="F76" s="5"/>
      <c r="G76" s="5"/>
    </row>
    <row r="77" spans="1:7" ht="99" thickBot="1">
      <c r="A77" s="3">
        <v>75</v>
      </c>
      <c r="B77" s="3" t="s">
        <v>657</v>
      </c>
      <c r="C77" s="3" t="s">
        <v>213</v>
      </c>
      <c r="D77" s="3" t="s">
        <v>214</v>
      </c>
      <c r="E77" s="4" t="s">
        <v>215</v>
      </c>
      <c r="F77" s="5"/>
      <c r="G77" s="5"/>
    </row>
    <row r="78" spans="1:7" ht="112.8" thickBot="1">
      <c r="A78" s="3">
        <v>76</v>
      </c>
      <c r="B78" s="3" t="s">
        <v>657</v>
      </c>
      <c r="C78" s="3" t="s">
        <v>216</v>
      </c>
      <c r="D78" s="3" t="s">
        <v>217</v>
      </c>
      <c r="E78" s="4" t="s">
        <v>218</v>
      </c>
      <c r="F78" s="5"/>
      <c r="G78" s="5"/>
    </row>
    <row r="79" spans="1:7" ht="112.8" thickBot="1">
      <c r="A79" s="3">
        <v>77</v>
      </c>
      <c r="B79" s="3" t="s">
        <v>657</v>
      </c>
      <c r="C79" s="3" t="s">
        <v>219</v>
      </c>
      <c r="D79" s="3" t="s">
        <v>220</v>
      </c>
      <c r="E79" s="4" t="s">
        <v>221</v>
      </c>
      <c r="F79" s="5"/>
      <c r="G79" s="5"/>
    </row>
    <row r="80" spans="1:7" ht="99" thickBot="1">
      <c r="A80" s="3">
        <v>78</v>
      </c>
      <c r="B80" s="3" t="s">
        <v>657</v>
      </c>
      <c r="C80" s="3" t="s">
        <v>222</v>
      </c>
      <c r="D80" s="3" t="s">
        <v>179</v>
      </c>
      <c r="E80" s="4" t="s">
        <v>223</v>
      </c>
      <c r="F80" s="5"/>
      <c r="G80" s="5"/>
    </row>
    <row r="81" spans="1:7" ht="99" thickBot="1">
      <c r="A81" s="3">
        <v>79</v>
      </c>
      <c r="B81" s="3" t="s">
        <v>657</v>
      </c>
      <c r="C81" s="3" t="s">
        <v>224</v>
      </c>
      <c r="D81" s="3" t="s">
        <v>225</v>
      </c>
      <c r="E81" s="4" t="s">
        <v>226</v>
      </c>
      <c r="F81" s="5"/>
      <c r="G81" s="5"/>
    </row>
    <row r="82" spans="1:7" ht="112.8" thickBot="1">
      <c r="A82" s="3">
        <v>80</v>
      </c>
      <c r="B82" s="3" t="s">
        <v>657</v>
      </c>
      <c r="C82" s="3" t="s">
        <v>227</v>
      </c>
      <c r="D82" s="3" t="s">
        <v>228</v>
      </c>
      <c r="E82" s="4" t="s">
        <v>229</v>
      </c>
      <c r="F82" s="5"/>
      <c r="G82" s="5"/>
    </row>
    <row r="83" spans="1:7" ht="112.8" thickBot="1">
      <c r="A83" s="3">
        <v>81</v>
      </c>
      <c r="B83" s="3" t="s">
        <v>657</v>
      </c>
      <c r="C83" s="3" t="s">
        <v>230</v>
      </c>
      <c r="D83" s="3" t="s">
        <v>231</v>
      </c>
      <c r="E83" s="4" t="s">
        <v>232</v>
      </c>
      <c r="F83" s="5"/>
      <c r="G83" s="5"/>
    </row>
    <row r="84" spans="1:7" ht="99" thickBot="1">
      <c r="A84" s="3">
        <v>82</v>
      </c>
      <c r="B84" s="3" t="s">
        <v>657</v>
      </c>
      <c r="C84" s="3" t="s">
        <v>233</v>
      </c>
      <c r="D84" s="3" t="s">
        <v>234</v>
      </c>
      <c r="E84" s="4" t="s">
        <v>235</v>
      </c>
      <c r="F84" s="5"/>
      <c r="G84" s="5"/>
    </row>
    <row r="85" spans="1:7" ht="99" thickBot="1">
      <c r="A85" s="3">
        <v>83</v>
      </c>
      <c r="B85" s="3" t="s">
        <v>657</v>
      </c>
      <c r="C85" s="3" t="s">
        <v>236</v>
      </c>
      <c r="D85" s="3" t="s">
        <v>237</v>
      </c>
      <c r="E85" s="4" t="s">
        <v>238</v>
      </c>
      <c r="F85" s="5"/>
      <c r="G85" s="5"/>
    </row>
    <row r="86" spans="1:7" ht="99" thickBot="1">
      <c r="A86" s="3">
        <v>84</v>
      </c>
      <c r="B86" s="3" t="s">
        <v>657</v>
      </c>
      <c r="C86" s="3" t="s">
        <v>239</v>
      </c>
      <c r="D86" s="3" t="s">
        <v>225</v>
      </c>
      <c r="E86" s="4" t="s">
        <v>240</v>
      </c>
      <c r="F86" s="5"/>
      <c r="G86" s="5"/>
    </row>
    <row r="87" spans="1:7" ht="99" thickBot="1">
      <c r="A87" s="3">
        <v>85</v>
      </c>
      <c r="B87" s="3" t="s">
        <v>657</v>
      </c>
      <c r="C87" s="3" t="s">
        <v>241</v>
      </c>
      <c r="D87" s="3" t="s">
        <v>173</v>
      </c>
      <c r="E87" s="4" t="s">
        <v>242</v>
      </c>
      <c r="F87" s="5"/>
      <c r="G87" s="5"/>
    </row>
    <row r="88" spans="1:7" ht="112.8" thickBot="1">
      <c r="A88" s="3">
        <v>86</v>
      </c>
      <c r="B88" s="3" t="s">
        <v>657</v>
      </c>
      <c r="C88" s="3" t="s">
        <v>243</v>
      </c>
      <c r="D88" s="3" t="s">
        <v>244</v>
      </c>
      <c r="E88" s="4" t="s">
        <v>245</v>
      </c>
      <c r="F88" s="5"/>
      <c r="G88" s="5"/>
    </row>
    <row r="89" spans="1:7" ht="112.8" thickBot="1">
      <c r="A89" s="3">
        <v>87</v>
      </c>
      <c r="B89" s="3" t="s">
        <v>657</v>
      </c>
      <c r="C89" s="3" t="s">
        <v>246</v>
      </c>
      <c r="D89" s="3" t="s">
        <v>247</v>
      </c>
      <c r="E89" s="4" t="s">
        <v>248</v>
      </c>
      <c r="F89" s="5"/>
      <c r="G89" s="5"/>
    </row>
    <row r="90" spans="1:7" ht="112.8" thickBot="1">
      <c r="A90" s="3">
        <v>88</v>
      </c>
      <c r="B90" s="3" t="s">
        <v>657</v>
      </c>
      <c r="C90" s="3" t="s">
        <v>249</v>
      </c>
      <c r="D90" s="3" t="s">
        <v>250</v>
      </c>
      <c r="E90" s="4" t="s">
        <v>251</v>
      </c>
      <c r="F90" s="5"/>
      <c r="G90" s="5"/>
    </row>
    <row r="91" spans="1:7" ht="112.8" thickBot="1">
      <c r="A91" s="3">
        <v>89</v>
      </c>
      <c r="B91" s="3" t="s">
        <v>657</v>
      </c>
      <c r="C91" s="3" t="s">
        <v>252</v>
      </c>
      <c r="D91" s="3" t="s">
        <v>253</v>
      </c>
      <c r="E91" s="4" t="s">
        <v>254</v>
      </c>
      <c r="F91" s="5"/>
      <c r="G91" s="5"/>
    </row>
    <row r="92" spans="1:7" ht="99" thickBot="1">
      <c r="A92" s="3">
        <v>90</v>
      </c>
      <c r="B92" s="3" t="s">
        <v>657</v>
      </c>
      <c r="C92" s="3" t="s">
        <v>255</v>
      </c>
      <c r="D92" s="3" t="s">
        <v>256</v>
      </c>
      <c r="E92" s="4" t="s">
        <v>257</v>
      </c>
      <c r="F92" s="5"/>
      <c r="G92" s="5"/>
    </row>
    <row r="93" spans="1:7" ht="112.8" thickBot="1">
      <c r="A93" s="3">
        <v>91</v>
      </c>
      <c r="B93" s="3" t="s">
        <v>657</v>
      </c>
      <c r="C93" s="3" t="s">
        <v>258</v>
      </c>
      <c r="D93" s="3" t="s">
        <v>82</v>
      </c>
      <c r="E93" s="4" t="s">
        <v>259</v>
      </c>
      <c r="F93" s="5"/>
      <c r="G93" s="5"/>
    </row>
    <row r="94" spans="1:7" ht="99" thickBot="1">
      <c r="A94" s="3">
        <v>92</v>
      </c>
      <c r="B94" s="3" t="s">
        <v>657</v>
      </c>
      <c r="C94" s="3" t="s">
        <v>260</v>
      </c>
      <c r="D94" s="3" t="s">
        <v>261</v>
      </c>
      <c r="E94" s="4" t="s">
        <v>262</v>
      </c>
      <c r="F94" s="5"/>
      <c r="G94" s="5"/>
    </row>
    <row r="95" spans="1:7" ht="112.8" thickBot="1">
      <c r="A95" s="3">
        <v>93</v>
      </c>
      <c r="B95" s="3" t="s">
        <v>657</v>
      </c>
      <c r="C95" s="3" t="s">
        <v>263</v>
      </c>
      <c r="D95" s="3" t="s">
        <v>264</v>
      </c>
      <c r="E95" s="4" t="s">
        <v>265</v>
      </c>
      <c r="F95" s="5"/>
      <c r="G95" s="5"/>
    </row>
    <row r="96" spans="1:7" ht="99" thickBot="1">
      <c r="A96" s="3">
        <v>94</v>
      </c>
      <c r="B96" s="3" t="s">
        <v>657</v>
      </c>
      <c r="C96" s="3" t="s">
        <v>266</v>
      </c>
      <c r="D96" s="3" t="s">
        <v>58</v>
      </c>
      <c r="E96" s="4" t="s">
        <v>267</v>
      </c>
      <c r="F96" s="5"/>
      <c r="G96" s="5"/>
    </row>
    <row r="97" spans="1:7" ht="112.8" thickBot="1">
      <c r="A97" s="3">
        <v>95</v>
      </c>
      <c r="B97" s="3" t="s">
        <v>657</v>
      </c>
      <c r="C97" s="3" t="s">
        <v>268</v>
      </c>
      <c r="D97" s="3" t="s">
        <v>269</v>
      </c>
      <c r="E97" s="4" t="s">
        <v>270</v>
      </c>
      <c r="F97" s="5"/>
      <c r="G97" s="5"/>
    </row>
    <row r="98" spans="1:7" ht="99" thickBot="1">
      <c r="A98" s="3">
        <v>96</v>
      </c>
      <c r="B98" s="3" t="s">
        <v>657</v>
      </c>
      <c r="C98" s="3" t="s">
        <v>271</v>
      </c>
      <c r="D98" s="3" t="s">
        <v>194</v>
      </c>
      <c r="E98" s="4" t="s">
        <v>272</v>
      </c>
      <c r="F98" s="5"/>
      <c r="G98" s="5"/>
    </row>
    <row r="99" spans="1:7" ht="99" thickBot="1">
      <c r="A99" s="3">
        <v>97</v>
      </c>
      <c r="B99" s="3" t="s">
        <v>657</v>
      </c>
      <c r="C99" s="3" t="s">
        <v>273</v>
      </c>
      <c r="D99" s="3" t="s">
        <v>274</v>
      </c>
      <c r="E99" s="4" t="s">
        <v>275</v>
      </c>
      <c r="F99" s="5"/>
      <c r="G99" s="5"/>
    </row>
    <row r="100" spans="1:7" ht="140.4" thickBot="1">
      <c r="A100" s="3">
        <v>98</v>
      </c>
      <c r="B100" s="3" t="s">
        <v>657</v>
      </c>
      <c r="C100" s="3" t="s">
        <v>276</v>
      </c>
      <c r="D100" s="3" t="s">
        <v>277</v>
      </c>
      <c r="E100" s="4" t="s">
        <v>278</v>
      </c>
      <c r="F100" s="5"/>
      <c r="G100" s="5"/>
    </row>
    <row r="101" spans="1:7" ht="112.8" thickBot="1">
      <c r="A101" s="3">
        <v>99</v>
      </c>
      <c r="B101" s="3" t="s">
        <v>657</v>
      </c>
      <c r="C101" s="3" t="s">
        <v>279</v>
      </c>
      <c r="D101" s="3" t="s">
        <v>280</v>
      </c>
      <c r="E101" s="4" t="s">
        <v>281</v>
      </c>
      <c r="F101" s="5"/>
      <c r="G101" s="5"/>
    </row>
    <row r="102" spans="1:7" ht="99" thickBot="1">
      <c r="A102" s="3">
        <v>100</v>
      </c>
      <c r="B102" s="3" t="s">
        <v>657</v>
      </c>
      <c r="C102" s="3" t="s">
        <v>282</v>
      </c>
      <c r="D102" s="3" t="s">
        <v>283</v>
      </c>
      <c r="E102" s="4" t="s">
        <v>284</v>
      </c>
      <c r="F102" s="5"/>
      <c r="G102" s="5"/>
    </row>
    <row r="103" spans="1:7" ht="99" thickBot="1">
      <c r="A103" s="3">
        <v>101</v>
      </c>
      <c r="B103" s="3" t="s">
        <v>657</v>
      </c>
      <c r="C103" s="3" t="s">
        <v>285</v>
      </c>
      <c r="D103" s="3" t="s">
        <v>37</v>
      </c>
      <c r="E103" s="4" t="s">
        <v>286</v>
      </c>
      <c r="F103" s="5"/>
      <c r="G103" s="5"/>
    </row>
    <row r="104" spans="1:7" ht="99" thickBot="1">
      <c r="A104" s="3">
        <v>102</v>
      </c>
      <c r="B104" s="3" t="s">
        <v>657</v>
      </c>
      <c r="C104" s="3" t="s">
        <v>287</v>
      </c>
      <c r="D104" s="3" t="s">
        <v>85</v>
      </c>
      <c r="E104" s="4" t="s">
        <v>288</v>
      </c>
      <c r="F104" s="5"/>
      <c r="G104" s="5"/>
    </row>
    <row r="105" spans="1:7" ht="99" thickBot="1">
      <c r="A105" s="3">
        <v>103</v>
      </c>
      <c r="B105" s="3" t="s">
        <v>657</v>
      </c>
      <c r="C105" s="3" t="s">
        <v>289</v>
      </c>
      <c r="D105" s="3" t="s">
        <v>290</v>
      </c>
      <c r="E105" s="4" t="s">
        <v>291</v>
      </c>
      <c r="F105" s="5"/>
      <c r="G105" s="5"/>
    </row>
    <row r="106" spans="1:7" ht="99" thickBot="1">
      <c r="A106" s="3">
        <v>104</v>
      </c>
      <c r="B106" s="3" t="s">
        <v>657</v>
      </c>
      <c r="C106" s="3" t="s">
        <v>292</v>
      </c>
      <c r="D106" s="3" t="s">
        <v>229</v>
      </c>
      <c r="E106" s="4" t="s">
        <v>293</v>
      </c>
      <c r="F106" s="5"/>
      <c r="G106" s="5"/>
    </row>
    <row r="107" spans="1:7" ht="99" thickBot="1">
      <c r="A107" s="3">
        <v>105</v>
      </c>
      <c r="B107" s="3" t="s">
        <v>657</v>
      </c>
      <c r="C107" s="3" t="s">
        <v>294</v>
      </c>
      <c r="D107" s="3" t="s">
        <v>295</v>
      </c>
      <c r="E107" s="4" t="s">
        <v>296</v>
      </c>
      <c r="F107" s="5"/>
      <c r="G107" s="5"/>
    </row>
    <row r="108" spans="1:7" ht="99" thickBot="1">
      <c r="A108" s="3">
        <v>106</v>
      </c>
      <c r="B108" s="3" t="s">
        <v>657</v>
      </c>
      <c r="C108" s="3" t="s">
        <v>297</v>
      </c>
      <c r="D108" s="3" t="s">
        <v>15</v>
      </c>
      <c r="E108" s="4" t="s">
        <v>298</v>
      </c>
      <c r="F108" s="5"/>
      <c r="G108" s="5"/>
    </row>
    <row r="109" spans="1:7" ht="99" thickBot="1">
      <c r="A109" s="3">
        <v>107</v>
      </c>
      <c r="B109" s="3" t="s">
        <v>657</v>
      </c>
      <c r="C109" s="3" t="s">
        <v>299</v>
      </c>
      <c r="D109" s="3" t="s">
        <v>300</v>
      </c>
      <c r="E109" s="4" t="s">
        <v>301</v>
      </c>
      <c r="F109" s="5"/>
      <c r="G109" s="5"/>
    </row>
    <row r="110" spans="1:7" ht="99" thickBot="1">
      <c r="A110" s="3">
        <v>108</v>
      </c>
      <c r="B110" s="3" t="s">
        <v>657</v>
      </c>
      <c r="C110" s="3" t="s">
        <v>302</v>
      </c>
      <c r="D110" s="3" t="s">
        <v>225</v>
      </c>
      <c r="E110" s="4" t="s">
        <v>303</v>
      </c>
      <c r="F110" s="5"/>
      <c r="G110" s="5"/>
    </row>
    <row r="111" spans="1:7" ht="99" thickBot="1">
      <c r="A111" s="3">
        <v>109</v>
      </c>
      <c r="B111" s="3" t="s">
        <v>657</v>
      </c>
      <c r="C111" s="3" t="s">
        <v>304</v>
      </c>
      <c r="D111" s="3" t="s">
        <v>305</v>
      </c>
      <c r="E111" s="4" t="s">
        <v>306</v>
      </c>
      <c r="F111" s="5"/>
      <c r="G111" s="5"/>
    </row>
    <row r="112" spans="1:7" ht="99" thickBot="1">
      <c r="A112" s="3">
        <v>110</v>
      </c>
      <c r="B112" s="3" t="s">
        <v>657</v>
      </c>
      <c r="C112" s="3" t="s">
        <v>307</v>
      </c>
      <c r="D112" s="3" t="s">
        <v>15</v>
      </c>
      <c r="E112" s="4" t="s">
        <v>308</v>
      </c>
      <c r="F112" s="5"/>
      <c r="G112" s="5"/>
    </row>
    <row r="113" spans="1:7" ht="99" thickBot="1">
      <c r="A113" s="3">
        <v>111</v>
      </c>
      <c r="B113" s="3" t="s">
        <v>657</v>
      </c>
      <c r="C113" s="3" t="s">
        <v>309</v>
      </c>
      <c r="D113" s="3" t="s">
        <v>310</v>
      </c>
      <c r="E113" s="4" t="s">
        <v>311</v>
      </c>
      <c r="F113" s="5"/>
      <c r="G113" s="5"/>
    </row>
    <row r="114" spans="1:7" ht="99" thickBot="1">
      <c r="A114" s="3">
        <v>112</v>
      </c>
      <c r="B114" s="3" t="s">
        <v>657</v>
      </c>
      <c r="C114" s="3" t="s">
        <v>312</v>
      </c>
      <c r="D114" s="3" t="s">
        <v>313</v>
      </c>
      <c r="E114" s="4" t="s">
        <v>314</v>
      </c>
      <c r="F114" s="5"/>
      <c r="G114" s="5"/>
    </row>
    <row r="115" spans="1:7" ht="99" thickBot="1">
      <c r="A115" s="3">
        <v>113</v>
      </c>
      <c r="B115" s="3" t="s">
        <v>657</v>
      </c>
      <c r="C115" s="3" t="s">
        <v>315</v>
      </c>
      <c r="D115" s="3" t="s">
        <v>214</v>
      </c>
      <c r="E115" s="4" t="s">
        <v>316</v>
      </c>
      <c r="F115" s="5"/>
      <c r="G115" s="5"/>
    </row>
    <row r="116" spans="1:7" ht="99" thickBot="1">
      <c r="A116" s="3">
        <v>114</v>
      </c>
      <c r="B116" s="3" t="s">
        <v>657</v>
      </c>
      <c r="C116" s="3" t="s">
        <v>317</v>
      </c>
      <c r="D116" s="3" t="s">
        <v>318</v>
      </c>
      <c r="E116" s="4" t="s">
        <v>319</v>
      </c>
      <c r="F116" s="5"/>
      <c r="G116" s="5"/>
    </row>
    <row r="117" spans="1:7" ht="99" thickBot="1">
      <c r="A117" s="3">
        <v>115</v>
      </c>
      <c r="B117" s="3" t="s">
        <v>657</v>
      </c>
      <c r="C117" s="3" t="s">
        <v>320</v>
      </c>
      <c r="D117" s="3" t="s">
        <v>85</v>
      </c>
      <c r="E117" s="4" t="s">
        <v>321</v>
      </c>
      <c r="F117" s="5"/>
      <c r="G117" s="5"/>
    </row>
    <row r="118" spans="1:7" ht="112.8" thickBot="1">
      <c r="A118" s="3">
        <v>116</v>
      </c>
      <c r="B118" s="3" t="s">
        <v>657</v>
      </c>
      <c r="C118" s="3" t="s">
        <v>322</v>
      </c>
      <c r="D118" s="3" t="s">
        <v>140</v>
      </c>
      <c r="E118" s="4" t="s">
        <v>323</v>
      </c>
      <c r="F118" s="5"/>
      <c r="G118" s="5"/>
    </row>
    <row r="119" spans="1:7" ht="99" thickBot="1">
      <c r="A119" s="3">
        <v>117</v>
      </c>
      <c r="B119" s="3" t="s">
        <v>657</v>
      </c>
      <c r="C119" s="3" t="s">
        <v>324</v>
      </c>
      <c r="D119" s="3" t="s">
        <v>15</v>
      </c>
      <c r="E119" s="4" t="s">
        <v>325</v>
      </c>
      <c r="F119" s="5"/>
      <c r="G119" s="5"/>
    </row>
    <row r="120" spans="1:7" ht="112.8" thickBot="1">
      <c r="A120" s="3">
        <v>118</v>
      </c>
      <c r="B120" s="3" t="s">
        <v>657</v>
      </c>
      <c r="C120" s="3" t="s">
        <v>326</v>
      </c>
      <c r="D120" s="3" t="s">
        <v>327</v>
      </c>
      <c r="E120" s="4" t="s">
        <v>328</v>
      </c>
      <c r="F120" s="5"/>
      <c r="G120" s="5"/>
    </row>
    <row r="121" spans="1:7" ht="99" thickBot="1">
      <c r="A121" s="3">
        <v>119</v>
      </c>
      <c r="B121" s="3" t="s">
        <v>657</v>
      </c>
      <c r="C121" s="3" t="s">
        <v>329</v>
      </c>
      <c r="D121" s="3" t="s">
        <v>330</v>
      </c>
      <c r="E121" s="4" t="s">
        <v>331</v>
      </c>
      <c r="F121" s="5"/>
      <c r="G121" s="5"/>
    </row>
    <row r="122" spans="1:7" ht="112.8" thickBot="1">
      <c r="A122" s="3">
        <v>120</v>
      </c>
      <c r="B122" s="3" t="s">
        <v>657</v>
      </c>
      <c r="C122" s="3" t="s">
        <v>332</v>
      </c>
      <c r="D122" s="3" t="s">
        <v>333</v>
      </c>
      <c r="E122" s="4" t="s">
        <v>334</v>
      </c>
      <c r="F122" s="5"/>
      <c r="G122" s="5"/>
    </row>
    <row r="123" spans="1:7" ht="126.6" thickBot="1">
      <c r="A123" s="3">
        <v>121</v>
      </c>
      <c r="B123" s="3" t="s">
        <v>657</v>
      </c>
      <c r="C123" s="3" t="s">
        <v>335</v>
      </c>
      <c r="D123" s="3" t="s">
        <v>336</v>
      </c>
      <c r="E123" s="4" t="s">
        <v>337</v>
      </c>
      <c r="F123" s="5"/>
      <c r="G123" s="5"/>
    </row>
    <row r="124" spans="1:7" ht="112.8" thickBot="1">
      <c r="A124" s="3">
        <v>122</v>
      </c>
      <c r="B124" s="3" t="s">
        <v>657</v>
      </c>
      <c r="C124" s="3" t="s">
        <v>338</v>
      </c>
      <c r="D124" s="3" t="s">
        <v>339</v>
      </c>
      <c r="E124" s="4" t="s">
        <v>340</v>
      </c>
      <c r="F124" s="5"/>
      <c r="G124" s="5"/>
    </row>
    <row r="125" spans="1:7" ht="99" thickBot="1">
      <c r="A125" s="3">
        <v>123</v>
      </c>
      <c r="B125" s="3" t="s">
        <v>657</v>
      </c>
      <c r="C125" s="3" t="s">
        <v>341</v>
      </c>
      <c r="D125" s="3" t="s">
        <v>342</v>
      </c>
      <c r="E125" s="4" t="s">
        <v>343</v>
      </c>
      <c r="F125" s="5"/>
      <c r="G125" s="5"/>
    </row>
    <row r="126" spans="1:7" ht="99" thickBot="1">
      <c r="A126" s="3">
        <v>124</v>
      </c>
      <c r="B126" s="3" t="s">
        <v>657</v>
      </c>
      <c r="C126" s="3" t="s">
        <v>344</v>
      </c>
      <c r="D126" s="3" t="s">
        <v>37</v>
      </c>
      <c r="E126" s="4" t="s">
        <v>345</v>
      </c>
      <c r="F126" s="5"/>
      <c r="G126" s="5"/>
    </row>
    <row r="127" spans="1:7" ht="99" thickBot="1">
      <c r="A127" s="3">
        <v>125</v>
      </c>
      <c r="B127" s="3" t="s">
        <v>657</v>
      </c>
      <c r="C127" s="3" t="s">
        <v>346</v>
      </c>
      <c r="D127" s="3" t="s">
        <v>347</v>
      </c>
      <c r="E127" s="4" t="s">
        <v>348</v>
      </c>
      <c r="F127" s="5"/>
      <c r="G127" s="5"/>
    </row>
    <row r="128" spans="1:7" ht="99" thickBot="1">
      <c r="A128" s="3">
        <v>126</v>
      </c>
      <c r="B128" s="3" t="s">
        <v>657</v>
      </c>
      <c r="C128" s="3" t="s">
        <v>349</v>
      </c>
      <c r="D128" s="3" t="s">
        <v>85</v>
      </c>
      <c r="E128" s="4" t="s">
        <v>350</v>
      </c>
      <c r="F128" s="5"/>
      <c r="G128" s="5"/>
    </row>
    <row r="129" spans="1:7" ht="112.8" thickBot="1">
      <c r="A129" s="3">
        <v>127</v>
      </c>
      <c r="B129" s="3" t="s">
        <v>657</v>
      </c>
      <c r="C129" s="3" t="s">
        <v>351</v>
      </c>
      <c r="D129" s="3" t="s">
        <v>52</v>
      </c>
      <c r="E129" s="4" t="s">
        <v>352</v>
      </c>
      <c r="F129" s="5"/>
      <c r="G129" s="5"/>
    </row>
    <row r="130" spans="1:7" ht="126.6" thickBot="1">
      <c r="A130" s="3">
        <v>128</v>
      </c>
      <c r="B130" s="3" t="s">
        <v>657</v>
      </c>
      <c r="C130" s="3" t="s">
        <v>353</v>
      </c>
      <c r="D130" s="3" t="s">
        <v>354</v>
      </c>
      <c r="E130" s="4" t="s">
        <v>355</v>
      </c>
      <c r="F130" s="5"/>
      <c r="G130" s="5"/>
    </row>
    <row r="131" spans="1:7" ht="99" thickBot="1">
      <c r="A131" s="3">
        <v>129</v>
      </c>
      <c r="B131" s="3" t="s">
        <v>657</v>
      </c>
      <c r="C131" s="3" t="s">
        <v>356</v>
      </c>
      <c r="D131" s="3" t="s">
        <v>357</v>
      </c>
      <c r="E131" s="4" t="s">
        <v>358</v>
      </c>
      <c r="F131" s="5"/>
      <c r="G131" s="5"/>
    </row>
    <row r="132" spans="1:7" ht="99" thickBot="1">
      <c r="A132" s="3">
        <v>130</v>
      </c>
      <c r="B132" s="3" t="s">
        <v>657</v>
      </c>
      <c r="C132" s="3" t="s">
        <v>359</v>
      </c>
      <c r="D132" s="3" t="s">
        <v>15</v>
      </c>
      <c r="E132" s="4" t="s">
        <v>360</v>
      </c>
      <c r="F132" s="5"/>
      <c r="G132" s="5"/>
    </row>
    <row r="133" spans="1:7" ht="99" thickBot="1">
      <c r="A133" s="3">
        <v>131</v>
      </c>
      <c r="B133" s="3" t="s">
        <v>657</v>
      </c>
      <c r="C133" s="3" t="s">
        <v>361</v>
      </c>
      <c r="D133" s="3" t="s">
        <v>362</v>
      </c>
      <c r="E133" s="4" t="s">
        <v>363</v>
      </c>
      <c r="F133" s="5"/>
      <c r="G133" s="5"/>
    </row>
    <row r="134" spans="1:7" ht="99" thickBot="1">
      <c r="A134" s="3">
        <v>132</v>
      </c>
      <c r="B134" s="3" t="s">
        <v>657</v>
      </c>
      <c r="C134" s="3" t="s">
        <v>660</v>
      </c>
      <c r="D134" s="3" t="s">
        <v>364</v>
      </c>
      <c r="E134" s="4" t="s">
        <v>365</v>
      </c>
      <c r="F134" s="5"/>
      <c r="G134" s="5"/>
    </row>
    <row r="135" spans="1:7" ht="112.8" thickBot="1">
      <c r="A135" s="3">
        <v>133</v>
      </c>
      <c r="B135" s="3" t="s">
        <v>657</v>
      </c>
      <c r="C135" s="3" t="s">
        <v>366</v>
      </c>
      <c r="D135" s="3" t="s">
        <v>367</v>
      </c>
      <c r="E135" s="4" t="s">
        <v>368</v>
      </c>
      <c r="F135" s="5"/>
      <c r="G135" s="5"/>
    </row>
    <row r="136" spans="1:7" ht="99" thickBot="1">
      <c r="A136" s="3">
        <v>134</v>
      </c>
      <c r="B136" s="3" t="s">
        <v>657</v>
      </c>
      <c r="C136" s="3" t="s">
        <v>369</v>
      </c>
      <c r="D136" s="3" t="s">
        <v>58</v>
      </c>
      <c r="E136" s="4" t="s">
        <v>370</v>
      </c>
      <c r="F136" s="5"/>
      <c r="G136" s="5"/>
    </row>
    <row r="137" spans="1:7" ht="99" thickBot="1">
      <c r="A137" s="3">
        <v>135</v>
      </c>
      <c r="B137" s="3" t="s">
        <v>657</v>
      </c>
      <c r="C137" s="3" t="s">
        <v>371</v>
      </c>
      <c r="D137" s="3" t="s">
        <v>372</v>
      </c>
      <c r="E137" s="4" t="s">
        <v>373</v>
      </c>
      <c r="F137" s="5"/>
      <c r="G137" s="5"/>
    </row>
    <row r="138" spans="1:7" ht="99" thickBot="1">
      <c r="A138" s="3">
        <v>136</v>
      </c>
      <c r="B138" s="3" t="s">
        <v>657</v>
      </c>
      <c r="C138" s="3" t="s">
        <v>374</v>
      </c>
      <c r="D138" s="3" t="s">
        <v>300</v>
      </c>
      <c r="E138" s="4" t="s">
        <v>375</v>
      </c>
      <c r="F138" s="5"/>
      <c r="G138" s="5"/>
    </row>
    <row r="139" spans="1:7" ht="112.8" thickBot="1">
      <c r="A139" s="3">
        <v>137</v>
      </c>
      <c r="B139" s="3" t="s">
        <v>657</v>
      </c>
      <c r="C139" s="3" t="s">
        <v>376</v>
      </c>
      <c r="D139" s="3" t="s">
        <v>377</v>
      </c>
      <c r="E139" s="4" t="s">
        <v>378</v>
      </c>
      <c r="F139" s="5"/>
      <c r="G139" s="5"/>
    </row>
    <row r="140" spans="1:7" ht="126.6" thickBot="1">
      <c r="A140" s="3">
        <v>138</v>
      </c>
      <c r="B140" s="3" t="s">
        <v>657</v>
      </c>
      <c r="C140" s="3" t="s">
        <v>379</v>
      </c>
      <c r="D140" s="3" t="s">
        <v>380</v>
      </c>
      <c r="E140" s="4" t="s">
        <v>381</v>
      </c>
      <c r="F140" s="5"/>
      <c r="G140" s="5"/>
    </row>
    <row r="141" spans="1:7" ht="112.8" thickBot="1">
      <c r="A141" s="3">
        <v>139</v>
      </c>
      <c r="B141" s="3" t="s">
        <v>657</v>
      </c>
      <c r="C141" s="3" t="s">
        <v>382</v>
      </c>
      <c r="D141" s="3" t="s">
        <v>52</v>
      </c>
      <c r="E141" s="4" t="s">
        <v>383</v>
      </c>
      <c r="F141" s="5"/>
      <c r="G141" s="5"/>
    </row>
    <row r="142" spans="1:7" ht="112.8" thickBot="1">
      <c r="A142" s="3">
        <v>140</v>
      </c>
      <c r="B142" s="3" t="s">
        <v>657</v>
      </c>
      <c r="C142" s="3" t="s">
        <v>384</v>
      </c>
      <c r="D142" s="3" t="s">
        <v>385</v>
      </c>
      <c r="E142" s="4" t="s">
        <v>386</v>
      </c>
      <c r="F142" s="5"/>
      <c r="G142" s="5"/>
    </row>
    <row r="143" spans="1:7" ht="99" thickBot="1">
      <c r="A143" s="3">
        <v>141</v>
      </c>
      <c r="B143" s="3" t="s">
        <v>657</v>
      </c>
      <c r="C143" s="3" t="s">
        <v>387</v>
      </c>
      <c r="D143" s="3" t="s">
        <v>388</v>
      </c>
      <c r="E143" s="4" t="s">
        <v>389</v>
      </c>
      <c r="F143" s="5"/>
      <c r="G143" s="5"/>
    </row>
    <row r="144" spans="1:7" ht="112.8" thickBot="1">
      <c r="A144" s="3">
        <v>142</v>
      </c>
      <c r="B144" s="3" t="s">
        <v>657</v>
      </c>
      <c r="C144" s="3" t="s">
        <v>390</v>
      </c>
      <c r="D144" s="3" t="s">
        <v>391</v>
      </c>
      <c r="E144" s="4" t="s">
        <v>392</v>
      </c>
      <c r="F144" s="5"/>
      <c r="G144" s="5"/>
    </row>
    <row r="145" spans="1:7" ht="99" thickBot="1">
      <c r="A145" s="3">
        <v>143</v>
      </c>
      <c r="B145" s="3" t="s">
        <v>657</v>
      </c>
      <c r="C145" s="3" t="s">
        <v>393</v>
      </c>
      <c r="D145" s="3" t="s">
        <v>394</v>
      </c>
      <c r="E145" s="4" t="s">
        <v>395</v>
      </c>
      <c r="F145" s="5"/>
      <c r="G145" s="5"/>
    </row>
    <row r="146" spans="1:7" ht="99" thickBot="1">
      <c r="A146" s="3">
        <v>144</v>
      </c>
      <c r="B146" s="3" t="s">
        <v>657</v>
      </c>
      <c r="C146" s="3" t="s">
        <v>396</v>
      </c>
      <c r="D146" s="3" t="s">
        <v>397</v>
      </c>
      <c r="E146" s="4" t="s">
        <v>398</v>
      </c>
      <c r="F146" s="5"/>
      <c r="G146" s="5"/>
    </row>
    <row r="147" spans="1:7" ht="99" thickBot="1">
      <c r="A147" s="3">
        <v>145</v>
      </c>
      <c r="B147" s="3" t="s">
        <v>657</v>
      </c>
      <c r="C147" s="3" t="s">
        <v>399</v>
      </c>
      <c r="D147" s="3" t="s">
        <v>15</v>
      </c>
      <c r="E147" s="4" t="s">
        <v>400</v>
      </c>
      <c r="F147" s="5"/>
      <c r="G147" s="5"/>
    </row>
    <row r="148" spans="1:7" ht="99" thickBot="1">
      <c r="A148" s="3">
        <v>146</v>
      </c>
      <c r="B148" s="3" t="s">
        <v>657</v>
      </c>
      <c r="C148" s="3" t="s">
        <v>401</v>
      </c>
      <c r="D148" s="3" t="s">
        <v>179</v>
      </c>
      <c r="E148" s="4" t="s">
        <v>402</v>
      </c>
      <c r="F148" s="5"/>
      <c r="G148" s="5"/>
    </row>
    <row r="149" spans="1:7" ht="112.8" thickBot="1">
      <c r="A149" s="3">
        <v>147</v>
      </c>
      <c r="B149" s="3" t="s">
        <v>657</v>
      </c>
      <c r="C149" s="3" t="s">
        <v>403</v>
      </c>
      <c r="D149" s="3" t="s">
        <v>82</v>
      </c>
      <c r="E149" s="4" t="s">
        <v>404</v>
      </c>
      <c r="F149" s="5"/>
      <c r="G149" s="5"/>
    </row>
    <row r="150" spans="1:7" ht="112.8" thickBot="1">
      <c r="A150" s="3">
        <v>148</v>
      </c>
      <c r="B150" s="3" t="s">
        <v>657</v>
      </c>
      <c r="C150" s="3" t="s">
        <v>405</v>
      </c>
      <c r="D150" s="3" t="s">
        <v>406</v>
      </c>
      <c r="E150" s="4" t="s">
        <v>407</v>
      </c>
      <c r="F150" s="5"/>
      <c r="G150" s="5"/>
    </row>
    <row r="151" spans="1:7" ht="126.6" thickBot="1">
      <c r="A151" s="3">
        <v>149</v>
      </c>
      <c r="B151" s="3" t="s">
        <v>657</v>
      </c>
      <c r="C151" s="3" t="s">
        <v>408</v>
      </c>
      <c r="D151" s="3" t="s">
        <v>409</v>
      </c>
      <c r="E151" s="4" t="s">
        <v>410</v>
      </c>
      <c r="F151" s="5"/>
      <c r="G151" s="5"/>
    </row>
    <row r="152" spans="1:7" ht="126.6" thickBot="1">
      <c r="A152" s="3">
        <v>150</v>
      </c>
      <c r="B152" s="3" t="s">
        <v>657</v>
      </c>
      <c r="C152" s="3" t="s">
        <v>411</v>
      </c>
      <c r="D152" s="3" t="s">
        <v>412</v>
      </c>
      <c r="E152" s="4" t="s">
        <v>413</v>
      </c>
      <c r="F152" s="5"/>
      <c r="G152" s="5"/>
    </row>
    <row r="153" spans="1:7" ht="99" thickBot="1">
      <c r="A153" s="3">
        <v>151</v>
      </c>
      <c r="B153" s="3" t="s">
        <v>657</v>
      </c>
      <c r="C153" s="3" t="s">
        <v>414</v>
      </c>
      <c r="D153" s="3" t="s">
        <v>415</v>
      </c>
      <c r="E153" s="4" t="s">
        <v>416</v>
      </c>
      <c r="F153" s="5"/>
      <c r="G153" s="5"/>
    </row>
    <row r="154" spans="1:7" ht="112.8" thickBot="1">
      <c r="A154" s="3">
        <v>152</v>
      </c>
      <c r="B154" s="3" t="s">
        <v>657</v>
      </c>
      <c r="C154" s="3" t="s">
        <v>417</v>
      </c>
      <c r="D154" s="3" t="s">
        <v>418</v>
      </c>
      <c r="E154" s="4" t="s">
        <v>419</v>
      </c>
      <c r="F154" s="5"/>
      <c r="G154" s="5"/>
    </row>
    <row r="155" spans="1:7" ht="99" thickBot="1">
      <c r="A155" s="3">
        <v>153</v>
      </c>
      <c r="B155" s="3" t="s">
        <v>657</v>
      </c>
      <c r="C155" s="3" t="s">
        <v>420</v>
      </c>
      <c r="D155" s="3" t="s">
        <v>421</v>
      </c>
      <c r="E155" s="4" t="s">
        <v>422</v>
      </c>
      <c r="F155" s="5"/>
      <c r="G155" s="5"/>
    </row>
    <row r="156" spans="1:7" ht="99" thickBot="1">
      <c r="A156" s="3">
        <v>154</v>
      </c>
      <c r="B156" s="3" t="s">
        <v>657</v>
      </c>
      <c r="C156" s="3" t="s">
        <v>423</v>
      </c>
      <c r="D156" s="3" t="s">
        <v>26</v>
      </c>
      <c r="E156" s="4" t="s">
        <v>424</v>
      </c>
      <c r="F156" s="5"/>
      <c r="G156" s="5"/>
    </row>
    <row r="157" spans="1:7" ht="99" thickBot="1">
      <c r="A157" s="3">
        <v>155</v>
      </c>
      <c r="B157" s="3" t="s">
        <v>657</v>
      </c>
      <c r="C157" s="3" t="s">
        <v>425</v>
      </c>
      <c r="D157" s="3" t="s">
        <v>426</v>
      </c>
      <c r="E157" s="4" t="s">
        <v>427</v>
      </c>
      <c r="F157" s="5"/>
      <c r="G157" s="5"/>
    </row>
    <row r="158" spans="1:7" ht="126.6" thickBot="1">
      <c r="A158" s="3">
        <v>156</v>
      </c>
      <c r="B158" s="3" t="s">
        <v>657</v>
      </c>
      <c r="C158" s="3" t="s">
        <v>428</v>
      </c>
      <c r="D158" s="3" t="s">
        <v>429</v>
      </c>
      <c r="E158" s="4" t="s">
        <v>430</v>
      </c>
      <c r="F158" s="5"/>
      <c r="G158" s="5"/>
    </row>
    <row r="159" spans="1:7" ht="99" thickBot="1">
      <c r="A159" s="3">
        <v>157</v>
      </c>
      <c r="B159" s="3" t="s">
        <v>657</v>
      </c>
      <c r="C159" s="3" t="s">
        <v>431</v>
      </c>
      <c r="D159" s="3" t="s">
        <v>194</v>
      </c>
      <c r="E159" s="4" t="s">
        <v>432</v>
      </c>
      <c r="F159" s="5"/>
      <c r="G159" s="5"/>
    </row>
    <row r="160" spans="1:7" ht="99" thickBot="1">
      <c r="A160" s="3">
        <v>158</v>
      </c>
      <c r="B160" s="3" t="s">
        <v>657</v>
      </c>
      <c r="C160" s="3" t="s">
        <v>433</v>
      </c>
      <c r="D160" s="3" t="s">
        <v>434</v>
      </c>
      <c r="E160" s="4" t="s">
        <v>435</v>
      </c>
      <c r="F160" s="5"/>
      <c r="G160" s="5"/>
    </row>
    <row r="161" spans="1:7" ht="112.8" thickBot="1">
      <c r="A161" s="3">
        <v>159</v>
      </c>
      <c r="B161" s="3" t="s">
        <v>657</v>
      </c>
      <c r="C161" s="3" t="s">
        <v>436</v>
      </c>
      <c r="D161" s="3" t="s">
        <v>437</v>
      </c>
      <c r="E161" s="4" t="s">
        <v>438</v>
      </c>
      <c r="F161" s="5"/>
      <c r="G161" s="5"/>
    </row>
    <row r="162" spans="1:7" ht="99" thickBot="1">
      <c r="A162" s="3">
        <v>160</v>
      </c>
      <c r="B162" s="3" t="s">
        <v>657</v>
      </c>
      <c r="C162" s="3" t="s">
        <v>439</v>
      </c>
      <c r="D162" s="3" t="s">
        <v>58</v>
      </c>
      <c r="E162" s="4" t="s">
        <v>440</v>
      </c>
      <c r="F162" s="5"/>
      <c r="G162" s="5"/>
    </row>
    <row r="163" spans="1:7" ht="99" thickBot="1">
      <c r="A163" s="3">
        <v>161</v>
      </c>
      <c r="B163" s="3" t="s">
        <v>657</v>
      </c>
      <c r="C163" s="3" t="s">
        <v>441</v>
      </c>
      <c r="D163" s="3" t="s">
        <v>442</v>
      </c>
      <c r="E163" s="4" t="s">
        <v>443</v>
      </c>
      <c r="F163" s="5"/>
      <c r="G163" s="5"/>
    </row>
    <row r="164" spans="1:7" ht="126.6" thickBot="1">
      <c r="A164" s="3">
        <v>162</v>
      </c>
      <c r="B164" s="3" t="s">
        <v>657</v>
      </c>
      <c r="C164" s="3" t="s">
        <v>444</v>
      </c>
      <c r="D164" s="3" t="s">
        <v>445</v>
      </c>
      <c r="E164" s="4" t="s">
        <v>446</v>
      </c>
      <c r="F164" s="5"/>
      <c r="G164" s="5"/>
    </row>
    <row r="165" spans="1:7" ht="99" thickBot="1">
      <c r="A165" s="3">
        <v>163</v>
      </c>
      <c r="B165" s="3" t="s">
        <v>657</v>
      </c>
      <c r="C165" s="3" t="s">
        <v>447</v>
      </c>
      <c r="D165" s="3" t="s">
        <v>448</v>
      </c>
      <c r="E165" s="4" t="s">
        <v>449</v>
      </c>
      <c r="F165" s="5"/>
      <c r="G165" s="5"/>
    </row>
    <row r="166" spans="1:7" ht="112.8" thickBot="1">
      <c r="A166" s="3">
        <v>164</v>
      </c>
      <c r="B166" s="3" t="s">
        <v>657</v>
      </c>
      <c r="C166" s="3" t="s">
        <v>450</v>
      </c>
      <c r="D166" s="3" t="s">
        <v>451</v>
      </c>
      <c r="E166" s="4" t="s">
        <v>452</v>
      </c>
      <c r="F166" s="5"/>
      <c r="G166" s="5"/>
    </row>
    <row r="167" spans="1:7" ht="112.8" thickBot="1">
      <c r="A167" s="3">
        <v>165</v>
      </c>
      <c r="B167" s="3" t="s">
        <v>657</v>
      </c>
      <c r="C167" s="3" t="s">
        <v>453</v>
      </c>
      <c r="D167" s="3" t="s">
        <v>454</v>
      </c>
      <c r="E167" s="4" t="s">
        <v>455</v>
      </c>
      <c r="F167" s="5"/>
      <c r="G167" s="5"/>
    </row>
    <row r="168" spans="1:7" ht="99" thickBot="1">
      <c r="A168" s="3">
        <v>166</v>
      </c>
      <c r="B168" s="3" t="s">
        <v>657</v>
      </c>
      <c r="C168" s="3" t="s">
        <v>456</v>
      </c>
      <c r="D168" s="3" t="s">
        <v>457</v>
      </c>
      <c r="E168" s="4" t="s">
        <v>458</v>
      </c>
      <c r="F168" s="5"/>
      <c r="G168" s="5"/>
    </row>
    <row r="169" spans="1:7" ht="112.8" thickBot="1">
      <c r="A169" s="3">
        <v>167</v>
      </c>
      <c r="B169" s="3" t="s">
        <v>657</v>
      </c>
      <c r="C169" s="3" t="s">
        <v>459</v>
      </c>
      <c r="D169" s="3" t="s">
        <v>460</v>
      </c>
      <c r="E169" s="4" t="s">
        <v>461</v>
      </c>
      <c r="F169" s="5"/>
      <c r="G169" s="5"/>
    </row>
    <row r="170" spans="1:7" ht="99" thickBot="1">
      <c r="A170" s="3">
        <v>168</v>
      </c>
      <c r="B170" s="3" t="s">
        <v>657</v>
      </c>
      <c r="C170" s="3" t="s">
        <v>462</v>
      </c>
      <c r="D170" s="3" t="s">
        <v>463</v>
      </c>
      <c r="E170" s="4" t="s">
        <v>464</v>
      </c>
      <c r="F170" s="5"/>
      <c r="G170" s="5"/>
    </row>
    <row r="171" spans="1:7" ht="99" thickBot="1">
      <c r="A171" s="3">
        <v>169</v>
      </c>
      <c r="B171" s="3" t="s">
        <v>657</v>
      </c>
      <c r="C171" s="3" t="s">
        <v>465</v>
      </c>
      <c r="D171" s="3" t="s">
        <v>466</v>
      </c>
      <c r="E171" s="4" t="s">
        <v>467</v>
      </c>
      <c r="F171" s="5"/>
      <c r="G171" s="5"/>
    </row>
    <row r="172" spans="1:7" ht="99" thickBot="1">
      <c r="A172" s="3">
        <v>170</v>
      </c>
      <c r="B172" s="3" t="s">
        <v>657</v>
      </c>
      <c r="C172" s="3" t="s">
        <v>468</v>
      </c>
      <c r="D172" s="3" t="s">
        <v>469</v>
      </c>
      <c r="E172" s="4" t="s">
        <v>470</v>
      </c>
      <c r="F172" s="5"/>
      <c r="G172" s="5"/>
    </row>
    <row r="173" spans="1:7" ht="112.8" thickBot="1">
      <c r="A173" s="3">
        <v>171</v>
      </c>
      <c r="B173" s="3" t="s">
        <v>657</v>
      </c>
      <c r="C173" s="3" t="s">
        <v>471</v>
      </c>
      <c r="D173" s="3" t="s">
        <v>472</v>
      </c>
      <c r="E173" s="4" t="s">
        <v>473</v>
      </c>
      <c r="F173" s="5"/>
      <c r="G173" s="5"/>
    </row>
    <row r="174" spans="1:7" ht="99" thickBot="1">
      <c r="A174" s="3">
        <v>172</v>
      </c>
      <c r="B174" s="3" t="s">
        <v>657</v>
      </c>
      <c r="C174" s="3" t="s">
        <v>474</v>
      </c>
      <c r="D174" s="3" t="s">
        <v>475</v>
      </c>
      <c r="E174" s="4" t="s">
        <v>476</v>
      </c>
      <c r="F174" s="5"/>
      <c r="G174" s="5"/>
    </row>
    <row r="175" spans="1:7" ht="99" thickBot="1">
      <c r="A175" s="3">
        <v>173</v>
      </c>
      <c r="B175" s="3" t="s">
        <v>657</v>
      </c>
      <c r="C175" s="3" t="s">
        <v>477</v>
      </c>
      <c r="D175" s="3" t="s">
        <v>478</v>
      </c>
      <c r="E175" s="4" t="s">
        <v>479</v>
      </c>
      <c r="F175" s="5"/>
      <c r="G175" s="5"/>
    </row>
    <row r="176" spans="1:7" ht="112.8" thickBot="1">
      <c r="A176" s="3">
        <v>174</v>
      </c>
      <c r="B176" s="3" t="s">
        <v>657</v>
      </c>
      <c r="C176" s="3" t="s">
        <v>480</v>
      </c>
      <c r="D176" s="3" t="s">
        <v>481</v>
      </c>
      <c r="E176" s="4" t="s">
        <v>482</v>
      </c>
      <c r="F176" s="5"/>
      <c r="G176" s="5"/>
    </row>
    <row r="177" spans="1:7" ht="112.8" thickBot="1">
      <c r="A177" s="3">
        <v>175</v>
      </c>
      <c r="B177" s="3" t="s">
        <v>657</v>
      </c>
      <c r="C177" s="3" t="s">
        <v>483</v>
      </c>
      <c r="D177" s="3" t="s">
        <v>484</v>
      </c>
      <c r="E177" s="4" t="s">
        <v>485</v>
      </c>
      <c r="F177" s="5"/>
      <c r="G177" s="5"/>
    </row>
    <row r="178" spans="1:7" ht="99" thickBot="1">
      <c r="A178" s="3">
        <v>176</v>
      </c>
      <c r="B178" s="3" t="s">
        <v>657</v>
      </c>
      <c r="C178" s="3" t="s">
        <v>486</v>
      </c>
      <c r="D178" s="3" t="s">
        <v>194</v>
      </c>
      <c r="E178" s="4" t="s">
        <v>487</v>
      </c>
      <c r="F178" s="5"/>
      <c r="G178" s="5"/>
    </row>
    <row r="179" spans="1:7" ht="99" thickBot="1">
      <c r="A179" s="3">
        <v>177</v>
      </c>
      <c r="B179" s="3" t="s">
        <v>657</v>
      </c>
      <c r="C179" s="3" t="s">
        <v>488</v>
      </c>
      <c r="D179" s="3" t="s">
        <v>489</v>
      </c>
      <c r="E179" s="4" t="s">
        <v>490</v>
      </c>
      <c r="F179" s="5"/>
      <c r="G179" s="5"/>
    </row>
    <row r="180" spans="1:7" ht="112.8" thickBot="1">
      <c r="A180" s="3">
        <v>178</v>
      </c>
      <c r="B180" s="3" t="s">
        <v>657</v>
      </c>
      <c r="C180" s="3" t="s">
        <v>491</v>
      </c>
      <c r="D180" s="3" t="s">
        <v>492</v>
      </c>
      <c r="E180" s="4" t="s">
        <v>493</v>
      </c>
      <c r="F180" s="5"/>
      <c r="G180" s="5"/>
    </row>
    <row r="181" spans="1:7" ht="99" thickBot="1">
      <c r="A181" s="3">
        <v>179</v>
      </c>
      <c r="B181" s="3" t="s">
        <v>657</v>
      </c>
      <c r="C181" s="3" t="s">
        <v>494</v>
      </c>
      <c r="D181" s="3" t="s">
        <v>495</v>
      </c>
      <c r="E181" s="4" t="s">
        <v>496</v>
      </c>
      <c r="F181" s="5"/>
      <c r="G181" s="5"/>
    </row>
    <row r="182" spans="1:7" ht="99" thickBot="1">
      <c r="A182" s="3">
        <v>180</v>
      </c>
      <c r="B182" s="3" t="s">
        <v>657</v>
      </c>
      <c r="C182" s="3" t="s">
        <v>497</v>
      </c>
      <c r="D182" s="3" t="s">
        <v>225</v>
      </c>
      <c r="E182" s="4" t="s">
        <v>498</v>
      </c>
      <c r="F182" s="5"/>
      <c r="G182" s="5"/>
    </row>
    <row r="183" spans="1:7" ht="112.8" thickBot="1">
      <c r="A183" s="3">
        <v>181</v>
      </c>
      <c r="B183" s="3" t="s">
        <v>657</v>
      </c>
      <c r="C183" s="3" t="s">
        <v>499</v>
      </c>
      <c r="D183" s="3" t="s">
        <v>500</v>
      </c>
      <c r="E183" s="4" t="s">
        <v>501</v>
      </c>
      <c r="F183" s="5"/>
      <c r="G183" s="5"/>
    </row>
    <row r="184" spans="1:7" ht="99" thickBot="1">
      <c r="A184" s="3">
        <v>182</v>
      </c>
      <c r="B184" s="3" t="s">
        <v>657</v>
      </c>
      <c r="C184" s="3" t="s">
        <v>502</v>
      </c>
      <c r="D184" s="3" t="s">
        <v>58</v>
      </c>
      <c r="E184" s="4" t="s">
        <v>503</v>
      </c>
      <c r="F184" s="5"/>
      <c r="G184" s="5"/>
    </row>
    <row r="185" spans="1:7" ht="112.8" thickBot="1">
      <c r="A185" s="3">
        <v>183</v>
      </c>
      <c r="B185" s="3" t="s">
        <v>657</v>
      </c>
      <c r="C185" s="3" t="s">
        <v>504</v>
      </c>
      <c r="D185" s="3" t="s">
        <v>505</v>
      </c>
      <c r="E185" s="4" t="s">
        <v>506</v>
      </c>
      <c r="F185" s="5"/>
      <c r="G185" s="5"/>
    </row>
    <row r="186" spans="1:7" ht="112.8" thickBot="1">
      <c r="A186" s="3">
        <v>184</v>
      </c>
      <c r="B186" s="3" t="s">
        <v>657</v>
      </c>
      <c r="C186" s="3" t="s">
        <v>507</v>
      </c>
      <c r="D186" s="3" t="s">
        <v>508</v>
      </c>
      <c r="E186" s="4" t="s">
        <v>509</v>
      </c>
      <c r="F186" s="5"/>
      <c r="G186" s="5"/>
    </row>
    <row r="187" spans="1:7" ht="99" thickBot="1">
      <c r="A187" s="3">
        <v>185</v>
      </c>
      <c r="B187" s="3" t="s">
        <v>657</v>
      </c>
      <c r="C187" s="3" t="s">
        <v>510</v>
      </c>
      <c r="D187" s="3" t="s">
        <v>511</v>
      </c>
      <c r="E187" s="4" t="s">
        <v>512</v>
      </c>
      <c r="F187" s="5"/>
      <c r="G187" s="5"/>
    </row>
    <row r="188" spans="1:7" ht="99" thickBot="1">
      <c r="A188" s="3">
        <v>186</v>
      </c>
      <c r="B188" s="3" t="s">
        <v>657</v>
      </c>
      <c r="C188" s="3" t="s">
        <v>513</v>
      </c>
      <c r="D188" s="3" t="s">
        <v>85</v>
      </c>
      <c r="E188" s="4" t="s">
        <v>514</v>
      </c>
      <c r="F188" s="5"/>
      <c r="G188" s="5"/>
    </row>
    <row r="189" spans="1:7" ht="112.8" thickBot="1">
      <c r="A189" s="3">
        <v>187</v>
      </c>
      <c r="B189" s="3" t="s">
        <v>657</v>
      </c>
      <c r="C189" s="3" t="s">
        <v>515</v>
      </c>
      <c r="D189" s="3" t="s">
        <v>516</v>
      </c>
      <c r="E189" s="4" t="s">
        <v>517</v>
      </c>
      <c r="F189" s="5"/>
      <c r="G189" s="5"/>
    </row>
    <row r="190" spans="1:7" ht="112.8" thickBot="1">
      <c r="A190" s="3">
        <v>188</v>
      </c>
      <c r="B190" s="3" t="s">
        <v>657</v>
      </c>
      <c r="C190" s="3" t="s">
        <v>518</v>
      </c>
      <c r="D190" s="3" t="s">
        <v>52</v>
      </c>
      <c r="E190" s="4" t="s">
        <v>519</v>
      </c>
      <c r="F190" s="5"/>
      <c r="G190" s="5"/>
    </row>
    <row r="191" spans="1:7" ht="112.8" thickBot="1">
      <c r="A191" s="3">
        <v>189</v>
      </c>
      <c r="B191" s="3" t="s">
        <v>657</v>
      </c>
      <c r="C191" s="3" t="s">
        <v>520</v>
      </c>
      <c r="D191" s="3" t="s">
        <v>521</v>
      </c>
      <c r="E191" s="4" t="s">
        <v>522</v>
      </c>
      <c r="F191" s="5"/>
      <c r="G191" s="5"/>
    </row>
    <row r="192" spans="1:7" ht="126.6" thickBot="1">
      <c r="A192" s="3">
        <v>190</v>
      </c>
      <c r="B192" s="3" t="s">
        <v>657</v>
      </c>
      <c r="C192" s="3" t="s">
        <v>523</v>
      </c>
      <c r="D192" s="3" t="s">
        <v>524</v>
      </c>
      <c r="E192" s="4" t="s">
        <v>525</v>
      </c>
      <c r="F192" s="5"/>
      <c r="G192" s="5"/>
    </row>
    <row r="193" spans="1:7" ht="99" thickBot="1">
      <c r="A193" s="3">
        <v>191</v>
      </c>
      <c r="B193" s="3" t="s">
        <v>657</v>
      </c>
      <c r="C193" s="3" t="s">
        <v>526</v>
      </c>
      <c r="D193" s="3" t="s">
        <v>527</v>
      </c>
      <c r="E193" s="4" t="s">
        <v>528</v>
      </c>
      <c r="F193" s="5"/>
      <c r="G193" s="5"/>
    </row>
    <row r="194" spans="1:7" ht="126.6" thickBot="1">
      <c r="A194" s="3">
        <v>192</v>
      </c>
      <c r="B194" s="3" t="s">
        <v>657</v>
      </c>
      <c r="C194" s="3" t="s">
        <v>529</v>
      </c>
      <c r="D194" s="3" t="s">
        <v>530</v>
      </c>
      <c r="E194" s="4" t="s">
        <v>531</v>
      </c>
      <c r="F194" s="5"/>
      <c r="G194" s="5"/>
    </row>
    <row r="195" spans="1:7" ht="99" thickBot="1">
      <c r="A195" s="3">
        <v>193</v>
      </c>
      <c r="B195" s="3" t="s">
        <v>657</v>
      </c>
      <c r="C195" s="3" t="s">
        <v>532</v>
      </c>
      <c r="D195" s="3" t="s">
        <v>194</v>
      </c>
      <c r="E195" s="4" t="s">
        <v>533</v>
      </c>
      <c r="F195" s="5"/>
      <c r="G195" s="5"/>
    </row>
    <row r="196" spans="1:7" ht="112.8" thickBot="1">
      <c r="A196" s="3">
        <v>194</v>
      </c>
      <c r="B196" s="3" t="s">
        <v>657</v>
      </c>
      <c r="C196" s="3" t="s">
        <v>534</v>
      </c>
      <c r="D196" s="3" t="s">
        <v>535</v>
      </c>
      <c r="E196" s="4" t="s">
        <v>536</v>
      </c>
      <c r="F196" s="5"/>
      <c r="G196" s="5"/>
    </row>
    <row r="197" spans="1:7" ht="112.8" thickBot="1">
      <c r="A197" s="3">
        <v>195</v>
      </c>
      <c r="B197" s="3" t="s">
        <v>657</v>
      </c>
      <c r="C197" s="3" t="s">
        <v>537</v>
      </c>
      <c r="D197" s="3" t="s">
        <v>538</v>
      </c>
      <c r="E197" s="4" t="s">
        <v>539</v>
      </c>
      <c r="F197" s="5"/>
      <c r="G197" s="5"/>
    </row>
    <row r="198" spans="1:7" ht="126.6" thickBot="1">
      <c r="A198" s="3">
        <v>196</v>
      </c>
      <c r="B198" s="3" t="s">
        <v>657</v>
      </c>
      <c r="C198" s="3" t="s">
        <v>540</v>
      </c>
      <c r="D198" s="3" t="s">
        <v>541</v>
      </c>
      <c r="E198" s="4" t="s">
        <v>542</v>
      </c>
      <c r="F198" s="5"/>
      <c r="G198" s="5"/>
    </row>
    <row r="199" spans="1:7" ht="112.8" thickBot="1">
      <c r="A199" s="3">
        <v>197</v>
      </c>
      <c r="B199" s="3" t="s">
        <v>657</v>
      </c>
      <c r="C199" s="3" t="s">
        <v>543</v>
      </c>
      <c r="D199" s="3" t="s">
        <v>544</v>
      </c>
      <c r="E199" s="4" t="s">
        <v>545</v>
      </c>
      <c r="F199" s="5"/>
      <c r="G199" s="5"/>
    </row>
    <row r="200" spans="1:7" ht="112.8" thickBot="1">
      <c r="A200" s="3">
        <v>198</v>
      </c>
      <c r="B200" s="3" t="s">
        <v>657</v>
      </c>
      <c r="C200" s="3" t="s">
        <v>546</v>
      </c>
      <c r="D200" s="3" t="s">
        <v>547</v>
      </c>
      <c r="E200" s="4" t="s">
        <v>548</v>
      </c>
      <c r="F200" s="5"/>
      <c r="G200" s="5"/>
    </row>
    <row r="201" spans="1:7" ht="126.6" thickBot="1">
      <c r="A201" s="3">
        <v>199</v>
      </c>
      <c r="B201" s="3" t="s">
        <v>657</v>
      </c>
      <c r="C201" s="3" t="s">
        <v>549</v>
      </c>
      <c r="D201" s="3" t="s">
        <v>550</v>
      </c>
      <c r="E201" s="4" t="s">
        <v>162</v>
      </c>
      <c r="F201" s="5"/>
      <c r="G201" s="5"/>
    </row>
    <row r="202" spans="1:7" ht="99" thickBot="1">
      <c r="A202" s="3">
        <v>200</v>
      </c>
      <c r="B202" s="3" t="s">
        <v>657</v>
      </c>
      <c r="C202" s="3" t="s">
        <v>551</v>
      </c>
      <c r="D202" s="3" t="s">
        <v>552</v>
      </c>
      <c r="E202" s="4" t="s">
        <v>553</v>
      </c>
      <c r="F202" s="5"/>
      <c r="G202" s="5"/>
    </row>
    <row r="203" spans="1:7" ht="112.8" thickBot="1">
      <c r="A203" s="3">
        <v>201</v>
      </c>
      <c r="B203" s="3" t="s">
        <v>657</v>
      </c>
      <c r="C203" s="3" t="s">
        <v>554</v>
      </c>
      <c r="D203" s="3" t="s">
        <v>555</v>
      </c>
      <c r="E203" s="4" t="s">
        <v>556</v>
      </c>
      <c r="F203" s="5"/>
      <c r="G203" s="5"/>
    </row>
    <row r="204" spans="1:7" ht="99" thickBot="1">
      <c r="A204" s="3">
        <v>202</v>
      </c>
      <c r="B204" s="3" t="s">
        <v>657</v>
      </c>
      <c r="C204" s="3" t="s">
        <v>557</v>
      </c>
      <c r="D204" s="3" t="s">
        <v>26</v>
      </c>
      <c r="E204" s="4" t="s">
        <v>558</v>
      </c>
      <c r="F204" s="5"/>
      <c r="G204" s="5"/>
    </row>
    <row r="205" spans="1:7" ht="112.8" thickBot="1">
      <c r="A205" s="3">
        <v>203</v>
      </c>
      <c r="B205" s="3" t="s">
        <v>657</v>
      </c>
      <c r="C205" s="3" t="s">
        <v>559</v>
      </c>
      <c r="D205" s="3" t="s">
        <v>560</v>
      </c>
      <c r="E205" s="4" t="s">
        <v>561</v>
      </c>
      <c r="F205" s="5"/>
      <c r="G205" s="5"/>
    </row>
    <row r="206" spans="1:7" ht="140.4" thickBot="1">
      <c r="A206" s="3">
        <v>204</v>
      </c>
      <c r="B206" s="3" t="s">
        <v>657</v>
      </c>
      <c r="C206" s="3" t="s">
        <v>562</v>
      </c>
      <c r="D206" s="3" t="s">
        <v>563</v>
      </c>
      <c r="E206" s="4" t="s">
        <v>564</v>
      </c>
      <c r="F206" s="5"/>
      <c r="G206" s="5"/>
    </row>
    <row r="207" spans="1:7" ht="112.8" thickBot="1">
      <c r="A207" s="3">
        <v>205</v>
      </c>
      <c r="B207" s="3" t="s">
        <v>657</v>
      </c>
      <c r="C207" s="3" t="s">
        <v>565</v>
      </c>
      <c r="D207" s="3" t="s">
        <v>566</v>
      </c>
      <c r="E207" s="4" t="s">
        <v>567</v>
      </c>
      <c r="F207" s="5"/>
      <c r="G207" s="5"/>
    </row>
    <row r="208" spans="1:7" ht="99" thickBot="1">
      <c r="A208" s="3">
        <v>206</v>
      </c>
      <c r="B208" s="3" t="s">
        <v>657</v>
      </c>
      <c r="C208" s="3" t="s">
        <v>568</v>
      </c>
      <c r="D208" s="3" t="s">
        <v>569</v>
      </c>
      <c r="E208" s="4" t="s">
        <v>570</v>
      </c>
      <c r="F208" s="5"/>
      <c r="G208" s="5"/>
    </row>
    <row r="209" spans="1:7" ht="99" thickBot="1">
      <c r="A209" s="3">
        <v>207</v>
      </c>
      <c r="B209" s="3" t="s">
        <v>657</v>
      </c>
      <c r="C209" s="3" t="s">
        <v>571</v>
      </c>
      <c r="D209" s="3" t="s">
        <v>572</v>
      </c>
      <c r="E209" s="4" t="s">
        <v>573</v>
      </c>
      <c r="F209" s="5"/>
      <c r="G209" s="5"/>
    </row>
    <row r="210" spans="1:7" ht="112.8" thickBot="1">
      <c r="A210" s="3">
        <v>208</v>
      </c>
      <c r="B210" s="3" t="s">
        <v>657</v>
      </c>
      <c r="C210" s="3" t="s">
        <v>574</v>
      </c>
      <c r="D210" s="3" t="s">
        <v>52</v>
      </c>
      <c r="E210" s="4" t="s">
        <v>575</v>
      </c>
      <c r="F210" s="5"/>
      <c r="G210" s="5"/>
    </row>
    <row r="211" spans="1:7" ht="99" thickBot="1">
      <c r="A211" s="3">
        <v>209</v>
      </c>
      <c r="B211" s="3" t="s">
        <v>657</v>
      </c>
      <c r="C211" s="3" t="s">
        <v>576</v>
      </c>
      <c r="D211" s="3" t="s">
        <v>577</v>
      </c>
      <c r="E211" s="4" t="s">
        <v>578</v>
      </c>
      <c r="F211" s="5"/>
      <c r="G211" s="5"/>
    </row>
    <row r="212" spans="1:7" ht="126.6" thickBot="1">
      <c r="A212" s="3">
        <v>210</v>
      </c>
      <c r="B212" s="3" t="s">
        <v>657</v>
      </c>
      <c r="C212" s="3" t="s">
        <v>579</v>
      </c>
      <c r="D212" s="3" t="s">
        <v>580</v>
      </c>
      <c r="E212" s="4" t="s">
        <v>581</v>
      </c>
      <c r="F212" s="5"/>
      <c r="G212" s="5"/>
    </row>
    <row r="213" spans="1:7" ht="99" thickBot="1">
      <c r="A213" s="3">
        <v>211</v>
      </c>
      <c r="B213" s="3" t="s">
        <v>657</v>
      </c>
      <c r="C213" s="3" t="s">
        <v>582</v>
      </c>
      <c r="D213" s="3" t="s">
        <v>583</v>
      </c>
      <c r="E213" s="4" t="s">
        <v>584</v>
      </c>
      <c r="F213" s="5"/>
      <c r="G213" s="5"/>
    </row>
    <row r="214" spans="1:7" ht="126.6" thickBot="1">
      <c r="A214" s="3">
        <v>212</v>
      </c>
      <c r="B214" s="3" t="s">
        <v>657</v>
      </c>
      <c r="C214" s="3" t="s">
        <v>585</v>
      </c>
      <c r="D214" s="3" t="s">
        <v>586</v>
      </c>
      <c r="E214" s="4" t="s">
        <v>587</v>
      </c>
      <c r="F214" s="5"/>
      <c r="G214" s="5"/>
    </row>
    <row r="215" spans="1:7" ht="126.6" thickBot="1">
      <c r="A215" s="3">
        <v>213</v>
      </c>
      <c r="B215" s="3" t="s">
        <v>657</v>
      </c>
      <c r="C215" s="3" t="s">
        <v>588</v>
      </c>
      <c r="D215" s="3" t="s">
        <v>589</v>
      </c>
      <c r="E215" s="4" t="s">
        <v>590</v>
      </c>
      <c r="F215" s="5"/>
      <c r="G215" s="5"/>
    </row>
    <row r="216" spans="1:7" ht="99" thickBot="1">
      <c r="A216" s="3">
        <v>214</v>
      </c>
      <c r="B216" s="3" t="s">
        <v>657</v>
      </c>
      <c r="C216" s="3" t="s">
        <v>591</v>
      </c>
      <c r="D216" s="3" t="s">
        <v>592</v>
      </c>
      <c r="E216" s="4" t="s">
        <v>593</v>
      </c>
      <c r="F216" s="5"/>
      <c r="G216" s="5"/>
    </row>
    <row r="217" spans="1:7" ht="99" thickBot="1">
      <c r="A217" s="3">
        <v>215</v>
      </c>
      <c r="B217" s="3" t="s">
        <v>657</v>
      </c>
      <c r="C217" s="3" t="s">
        <v>594</v>
      </c>
      <c r="D217" s="3" t="s">
        <v>15</v>
      </c>
      <c r="E217" s="4" t="s">
        <v>595</v>
      </c>
      <c r="F217" s="5"/>
      <c r="G217" s="5"/>
    </row>
    <row r="218" spans="1:7" ht="99" thickBot="1">
      <c r="A218" s="3">
        <v>216</v>
      </c>
      <c r="B218" s="3" t="s">
        <v>657</v>
      </c>
      <c r="C218" s="3" t="s">
        <v>596</v>
      </c>
      <c r="D218" s="3" t="s">
        <v>305</v>
      </c>
      <c r="E218" s="4" t="s">
        <v>597</v>
      </c>
      <c r="F218" s="5"/>
      <c r="G218" s="5"/>
    </row>
    <row r="219" spans="1:7" ht="99" thickBot="1">
      <c r="A219" s="3">
        <v>217</v>
      </c>
      <c r="B219" s="3" t="s">
        <v>657</v>
      </c>
      <c r="C219" s="3" t="s">
        <v>598</v>
      </c>
      <c r="D219" s="3" t="s">
        <v>599</v>
      </c>
      <c r="E219" s="4" t="s">
        <v>600</v>
      </c>
      <c r="F219" s="5"/>
      <c r="G219" s="5"/>
    </row>
    <row r="220" spans="1:7" ht="99" thickBot="1">
      <c r="A220" s="3">
        <v>218</v>
      </c>
      <c r="B220" s="3" t="s">
        <v>657</v>
      </c>
      <c r="C220" s="3" t="s">
        <v>601</v>
      </c>
      <c r="D220" s="3" t="s">
        <v>602</v>
      </c>
      <c r="E220" s="4" t="s">
        <v>603</v>
      </c>
      <c r="F220" s="5"/>
      <c r="G220" s="5"/>
    </row>
    <row r="221" spans="1:7" ht="99" thickBot="1">
      <c r="A221" s="3">
        <v>219</v>
      </c>
      <c r="B221" s="3" t="s">
        <v>657</v>
      </c>
      <c r="C221" s="3" t="s">
        <v>604</v>
      </c>
      <c r="D221" s="3" t="s">
        <v>605</v>
      </c>
      <c r="E221" s="4" t="s">
        <v>606</v>
      </c>
      <c r="F221" s="5"/>
      <c r="G221" s="5"/>
    </row>
    <row r="222" spans="1:7" ht="112.8" thickBot="1">
      <c r="A222" s="3">
        <v>220</v>
      </c>
      <c r="B222" s="3" t="s">
        <v>657</v>
      </c>
      <c r="C222" s="3" t="s">
        <v>607</v>
      </c>
      <c r="D222" s="3" t="s">
        <v>608</v>
      </c>
      <c r="E222" s="4" t="s">
        <v>609</v>
      </c>
      <c r="F222" s="5"/>
      <c r="G222" s="5"/>
    </row>
    <row r="223" spans="1:7" ht="112.8" thickBot="1">
      <c r="A223" s="3">
        <v>221</v>
      </c>
      <c r="B223" s="3" t="s">
        <v>657</v>
      </c>
      <c r="C223" s="3" t="s">
        <v>610</v>
      </c>
      <c r="D223" s="3" t="s">
        <v>611</v>
      </c>
      <c r="E223" s="4" t="s">
        <v>612</v>
      </c>
      <c r="F223" s="5"/>
      <c r="G223" s="5"/>
    </row>
    <row r="224" spans="1:7" ht="99" thickBot="1">
      <c r="A224" s="3">
        <v>222</v>
      </c>
      <c r="B224" s="3" t="s">
        <v>657</v>
      </c>
      <c r="C224" s="3" t="s">
        <v>613</v>
      </c>
      <c r="D224" s="3" t="s">
        <v>614</v>
      </c>
      <c r="E224" s="4" t="s">
        <v>615</v>
      </c>
      <c r="F224" s="5"/>
      <c r="G224" s="5"/>
    </row>
    <row r="225" spans="1:18" ht="112.8" thickBot="1">
      <c r="A225" s="3">
        <v>223</v>
      </c>
      <c r="B225" s="3" t="s">
        <v>657</v>
      </c>
      <c r="C225" s="3" t="s">
        <v>616</v>
      </c>
      <c r="D225" s="3" t="s">
        <v>617</v>
      </c>
      <c r="E225" s="4" t="s">
        <v>618</v>
      </c>
      <c r="F225" s="5"/>
      <c r="G225" s="5"/>
    </row>
    <row r="226" spans="1:18" ht="99" thickBot="1">
      <c r="A226" s="3">
        <v>224</v>
      </c>
      <c r="B226" s="3" t="s">
        <v>657</v>
      </c>
      <c r="C226" s="3" t="s">
        <v>619</v>
      </c>
      <c r="D226" s="3" t="s">
        <v>620</v>
      </c>
      <c r="E226" s="4" t="s">
        <v>621</v>
      </c>
      <c r="F226" s="5"/>
      <c r="G226" s="5"/>
    </row>
    <row r="227" spans="1:18" ht="99" thickBot="1">
      <c r="A227" s="3">
        <v>225</v>
      </c>
      <c r="B227" s="3" t="s">
        <v>657</v>
      </c>
      <c r="C227" s="3" t="s">
        <v>622</v>
      </c>
      <c r="D227" s="3" t="s">
        <v>623</v>
      </c>
      <c r="E227" s="4" t="s">
        <v>624</v>
      </c>
      <c r="F227" s="5"/>
      <c r="G227" s="5"/>
    </row>
    <row r="228" spans="1:18" ht="99" thickBot="1">
      <c r="A228" s="3">
        <v>226</v>
      </c>
      <c r="B228" s="3" t="s">
        <v>657</v>
      </c>
      <c r="C228" s="3" t="s">
        <v>625</v>
      </c>
      <c r="D228" s="3" t="s">
        <v>626</v>
      </c>
      <c r="E228" s="4" t="s">
        <v>627</v>
      </c>
      <c r="F228" s="5"/>
      <c r="G228" s="5"/>
    </row>
    <row r="229" spans="1:18" ht="99" thickBot="1">
      <c r="A229" s="3">
        <v>227</v>
      </c>
      <c r="B229" s="3" t="s">
        <v>657</v>
      </c>
      <c r="C229" s="3" t="s">
        <v>628</v>
      </c>
      <c r="D229" s="3" t="s">
        <v>629</v>
      </c>
      <c r="E229" s="4" t="s">
        <v>630</v>
      </c>
      <c r="F229" s="5"/>
      <c r="G229" s="5"/>
    </row>
    <row r="230" spans="1:18" ht="112.8" thickBot="1">
      <c r="A230" s="3">
        <v>228</v>
      </c>
      <c r="B230" s="3" t="s">
        <v>657</v>
      </c>
      <c r="C230" s="3" t="s">
        <v>631</v>
      </c>
      <c r="D230" s="3" t="s">
        <v>67</v>
      </c>
      <c r="E230" s="4" t="s">
        <v>632</v>
      </c>
      <c r="F230" s="5"/>
      <c r="G230" s="5"/>
    </row>
    <row r="231" spans="1:18" ht="99" thickBot="1">
      <c r="A231" s="3">
        <v>229</v>
      </c>
      <c r="B231" s="3" t="s">
        <v>657</v>
      </c>
      <c r="C231" s="3" t="s">
        <v>633</v>
      </c>
      <c r="D231" s="3" t="s">
        <v>634</v>
      </c>
      <c r="E231" s="4" t="s">
        <v>635</v>
      </c>
      <c r="F231" s="5"/>
      <c r="G231" s="5"/>
    </row>
    <row r="232" spans="1:18" ht="112.8" thickBot="1">
      <c r="A232" s="3">
        <v>230</v>
      </c>
      <c r="B232" s="3" t="s">
        <v>657</v>
      </c>
      <c r="C232" s="3" t="s">
        <v>636</v>
      </c>
      <c r="D232" s="3" t="s">
        <v>637</v>
      </c>
      <c r="E232" s="4" t="s">
        <v>638</v>
      </c>
      <c r="F232" s="5"/>
      <c r="G232" s="5"/>
    </row>
    <row r="233" spans="1:18" ht="99" thickBot="1">
      <c r="A233" s="3">
        <v>231</v>
      </c>
      <c r="B233" s="3" t="s">
        <v>657</v>
      </c>
      <c r="C233" s="3" t="s">
        <v>639</v>
      </c>
      <c r="D233" s="3" t="s">
        <v>640</v>
      </c>
      <c r="E233" s="4" t="s">
        <v>641</v>
      </c>
      <c r="F233" s="5"/>
      <c r="G233" s="5"/>
    </row>
    <row r="234" spans="1:18" ht="99" thickBot="1">
      <c r="A234" s="3">
        <v>232</v>
      </c>
      <c r="B234" s="3" t="s">
        <v>657</v>
      </c>
      <c r="C234" s="3" t="s">
        <v>642</v>
      </c>
      <c r="D234" s="3" t="s">
        <v>643</v>
      </c>
      <c r="E234" s="4" t="s">
        <v>644</v>
      </c>
      <c r="F234" s="5"/>
      <c r="G234" s="5"/>
    </row>
    <row r="235" spans="1:18" ht="112.8" thickBot="1">
      <c r="A235" s="3">
        <v>233</v>
      </c>
      <c r="B235" s="3" t="s">
        <v>657</v>
      </c>
      <c r="C235" s="3" t="s">
        <v>645</v>
      </c>
      <c r="D235" s="3" t="s">
        <v>67</v>
      </c>
      <c r="E235" s="4" t="s">
        <v>646</v>
      </c>
      <c r="F235" s="5"/>
      <c r="G235" s="5"/>
    </row>
    <row r="236" spans="1:18" ht="99" thickBot="1">
      <c r="A236" s="3">
        <v>234</v>
      </c>
      <c r="B236" s="3" t="s">
        <v>657</v>
      </c>
      <c r="C236" s="3" t="s">
        <v>647</v>
      </c>
      <c r="D236" s="3" t="s">
        <v>648</v>
      </c>
      <c r="E236" s="4" t="s">
        <v>649</v>
      </c>
      <c r="F236" s="5"/>
      <c r="G236" s="5"/>
    </row>
    <row r="237" spans="1:18" ht="99" thickBot="1">
      <c r="A237" s="3">
        <v>235</v>
      </c>
      <c r="B237" s="3" t="s">
        <v>657</v>
      </c>
      <c r="C237" s="3" t="s">
        <v>650</v>
      </c>
      <c r="D237" s="3" t="s">
        <v>364</v>
      </c>
      <c r="E237" s="4" t="s">
        <v>651</v>
      </c>
      <c r="F237" s="5"/>
      <c r="G237" s="5"/>
    </row>
    <row r="238" spans="1:18" ht="99" thickBot="1">
      <c r="A238" s="3">
        <v>236</v>
      </c>
      <c r="B238" s="3" t="s">
        <v>657</v>
      </c>
      <c r="C238" s="3" t="s">
        <v>652</v>
      </c>
      <c r="D238" s="3" t="s">
        <v>572</v>
      </c>
      <c r="E238" s="4" t="s">
        <v>653</v>
      </c>
      <c r="F238" s="5"/>
      <c r="G238" s="5"/>
    </row>
    <row r="239" spans="1:18" ht="99" thickBot="1">
      <c r="A239" s="3">
        <v>237</v>
      </c>
      <c r="B239" s="3" t="s">
        <v>661</v>
      </c>
      <c r="C239" s="6" t="s">
        <v>662</v>
      </c>
      <c r="D239" s="6" t="s">
        <v>3851</v>
      </c>
      <c r="E239" s="6" t="s">
        <v>3852</v>
      </c>
      <c r="F239" s="5" t="s">
        <v>3850</v>
      </c>
      <c r="G239" s="5" t="s">
        <v>1656</v>
      </c>
      <c r="R239" s="38"/>
    </row>
    <row r="240" spans="1:18" ht="126.6" thickBot="1">
      <c r="A240" s="3">
        <v>238</v>
      </c>
      <c r="B240" s="3" t="s">
        <v>661</v>
      </c>
      <c r="C240" s="6" t="s">
        <v>663</v>
      </c>
      <c r="D240" s="6" t="s">
        <v>3854</v>
      </c>
      <c r="E240" s="6" t="s">
        <v>3855</v>
      </c>
      <c r="F240" s="43" t="s">
        <v>3853</v>
      </c>
      <c r="G240" s="5" t="s">
        <v>1656</v>
      </c>
    </row>
    <row r="241" spans="1:7" ht="126.6" thickBot="1">
      <c r="A241" s="3">
        <v>239</v>
      </c>
      <c r="B241" s="3" t="s">
        <v>661</v>
      </c>
      <c r="C241" s="6" t="s">
        <v>664</v>
      </c>
      <c r="D241" s="6" t="s">
        <v>3857</v>
      </c>
      <c r="E241" s="6" t="s">
        <v>3858</v>
      </c>
      <c r="F241" s="5" t="s">
        <v>3856</v>
      </c>
      <c r="G241" s="5" t="s">
        <v>1656</v>
      </c>
    </row>
    <row r="242" spans="1:7" ht="112.8" thickBot="1">
      <c r="A242" s="3">
        <v>240</v>
      </c>
      <c r="B242" s="3" t="s">
        <v>661</v>
      </c>
      <c r="C242" s="6" t="s">
        <v>665</v>
      </c>
      <c r="D242" s="6" t="s">
        <v>3859</v>
      </c>
      <c r="E242" s="6" t="s">
        <v>3860</v>
      </c>
      <c r="F242" s="5" t="s">
        <v>3850</v>
      </c>
      <c r="G242" s="5" t="s">
        <v>1656</v>
      </c>
    </row>
    <row r="243" spans="1:7" ht="99" thickBot="1">
      <c r="A243" s="3">
        <v>241</v>
      </c>
      <c r="B243" s="3" t="s">
        <v>661</v>
      </c>
      <c r="C243" s="6" t="s">
        <v>666</v>
      </c>
      <c r="D243" s="6" t="s">
        <v>667</v>
      </c>
      <c r="E243" s="6" t="s">
        <v>668</v>
      </c>
      <c r="F243" s="5" t="s">
        <v>1612</v>
      </c>
      <c r="G243" s="5"/>
    </row>
    <row r="244" spans="1:7" ht="99" thickBot="1">
      <c r="A244" s="3">
        <v>242</v>
      </c>
      <c r="B244" s="3" t="s">
        <v>661</v>
      </c>
      <c r="C244" s="6" t="s">
        <v>669</v>
      </c>
      <c r="D244" s="6" t="s">
        <v>670</v>
      </c>
      <c r="E244" s="6" t="s">
        <v>671</v>
      </c>
      <c r="F244" s="5" t="s">
        <v>1619</v>
      </c>
      <c r="G244" s="5"/>
    </row>
    <row r="245" spans="1:7" ht="126.6" thickBot="1">
      <c r="A245" s="3">
        <v>243</v>
      </c>
      <c r="B245" s="3" t="s">
        <v>661</v>
      </c>
      <c r="C245" s="6" t="s">
        <v>672</v>
      </c>
      <c r="D245" s="6" t="s">
        <v>673</v>
      </c>
      <c r="E245" s="6" t="s">
        <v>674</v>
      </c>
      <c r="F245" s="5" t="s">
        <v>1612</v>
      </c>
      <c r="G245" s="5"/>
    </row>
    <row r="246" spans="1:7" ht="99" thickBot="1">
      <c r="A246" s="3">
        <v>244</v>
      </c>
      <c r="B246" s="3" t="s">
        <v>661</v>
      </c>
      <c r="C246" s="6" t="s">
        <v>675</v>
      </c>
      <c r="D246" s="6" t="s">
        <v>676</v>
      </c>
      <c r="E246" s="6" t="s">
        <v>677</v>
      </c>
      <c r="F246" s="5" t="s">
        <v>1619</v>
      </c>
      <c r="G246" s="5"/>
    </row>
    <row r="247" spans="1:7" ht="195.6" thickBot="1">
      <c r="A247" s="3">
        <v>245</v>
      </c>
      <c r="B247" s="3" t="s">
        <v>661</v>
      </c>
      <c r="C247" s="6" t="s">
        <v>678</v>
      </c>
      <c r="D247" s="6" t="s">
        <v>679</v>
      </c>
      <c r="E247" s="6" t="s">
        <v>680</v>
      </c>
      <c r="F247" s="43" t="s">
        <v>1614</v>
      </c>
      <c r="G247" s="5"/>
    </row>
    <row r="248" spans="1:7" ht="112.8" thickBot="1">
      <c r="A248" s="3">
        <v>246</v>
      </c>
      <c r="B248" s="3" t="s">
        <v>661</v>
      </c>
      <c r="C248" s="6" t="s">
        <v>681</v>
      </c>
      <c r="D248" s="6" t="s">
        <v>682</v>
      </c>
      <c r="E248" s="6" t="s">
        <v>683</v>
      </c>
      <c r="F248" s="43" t="s">
        <v>1617</v>
      </c>
      <c r="G248" s="5"/>
    </row>
    <row r="249" spans="1:7" ht="126.6" thickBot="1">
      <c r="A249" s="3">
        <v>247</v>
      </c>
      <c r="B249" s="3" t="s">
        <v>661</v>
      </c>
      <c r="C249" s="6" t="s">
        <v>684</v>
      </c>
      <c r="D249" s="6" t="s">
        <v>685</v>
      </c>
      <c r="E249" s="6" t="s">
        <v>686</v>
      </c>
      <c r="F249" s="5" t="s">
        <v>1613</v>
      </c>
      <c r="G249" s="5"/>
    </row>
    <row r="250" spans="1:7" ht="112.8" thickBot="1">
      <c r="A250" s="3">
        <v>248</v>
      </c>
      <c r="B250" s="3" t="s">
        <v>661</v>
      </c>
      <c r="C250" s="6" t="s">
        <v>687</v>
      </c>
      <c r="D250" s="6" t="s">
        <v>688</v>
      </c>
      <c r="E250" s="6" t="s">
        <v>689</v>
      </c>
      <c r="F250" s="5" t="s">
        <v>1612</v>
      </c>
      <c r="G250" s="5"/>
    </row>
    <row r="251" spans="1:7" ht="112.8" thickBot="1">
      <c r="A251" s="3">
        <v>249</v>
      </c>
      <c r="B251" s="3" t="s">
        <v>661</v>
      </c>
      <c r="C251" s="6" t="s">
        <v>690</v>
      </c>
      <c r="D251" s="6" t="s">
        <v>691</v>
      </c>
      <c r="E251" s="6" t="s">
        <v>692</v>
      </c>
      <c r="F251" s="5" t="s">
        <v>1612</v>
      </c>
      <c r="G251" s="5"/>
    </row>
    <row r="252" spans="1:7" ht="99" thickBot="1">
      <c r="A252" s="3">
        <v>250</v>
      </c>
      <c r="B252" s="3" t="s">
        <v>661</v>
      </c>
      <c r="C252" s="6" t="s">
        <v>693</v>
      </c>
      <c r="D252" s="6" t="s">
        <v>694</v>
      </c>
      <c r="E252" s="6" t="s">
        <v>695</v>
      </c>
      <c r="F252" s="5" t="s">
        <v>1612</v>
      </c>
      <c r="G252" s="5"/>
    </row>
    <row r="253" spans="1:7" ht="112.8" thickBot="1">
      <c r="A253" s="3">
        <v>251</v>
      </c>
      <c r="B253" s="3" t="s">
        <v>661</v>
      </c>
      <c r="C253" s="6" t="s">
        <v>696</v>
      </c>
      <c r="D253" s="6" t="s">
        <v>697</v>
      </c>
      <c r="E253" s="6" t="s">
        <v>698</v>
      </c>
      <c r="F253" s="43" t="s">
        <v>1615</v>
      </c>
      <c r="G253" s="5"/>
    </row>
    <row r="254" spans="1:7" ht="126.6" thickBot="1">
      <c r="A254" s="3">
        <v>252</v>
      </c>
      <c r="B254" s="3" t="s">
        <v>661</v>
      </c>
      <c r="C254" s="6" t="s">
        <v>699</v>
      </c>
      <c r="D254" s="6" t="s">
        <v>700</v>
      </c>
      <c r="E254" s="6" t="s">
        <v>701</v>
      </c>
      <c r="F254" s="43" t="s">
        <v>1614</v>
      </c>
      <c r="G254" s="5"/>
    </row>
    <row r="255" spans="1:7" ht="112.8" thickBot="1">
      <c r="A255" s="3">
        <v>253</v>
      </c>
      <c r="B255" s="3" t="s">
        <v>661</v>
      </c>
      <c r="C255" s="6" t="s">
        <v>702</v>
      </c>
      <c r="D255" s="6" t="s">
        <v>703</v>
      </c>
      <c r="E255" s="6" t="s">
        <v>704</v>
      </c>
      <c r="F255" s="5" t="s">
        <v>1619</v>
      </c>
      <c r="G255" s="5"/>
    </row>
    <row r="256" spans="1:7" ht="99" thickBot="1">
      <c r="A256" s="3">
        <v>254</v>
      </c>
      <c r="B256" s="3" t="s">
        <v>661</v>
      </c>
      <c r="C256" s="6" t="s">
        <v>705</v>
      </c>
      <c r="D256" s="6" t="s">
        <v>706</v>
      </c>
      <c r="E256" s="6" t="s">
        <v>707</v>
      </c>
      <c r="F256" s="5" t="s">
        <v>1619</v>
      </c>
      <c r="G256" s="5"/>
    </row>
    <row r="257" spans="1:7" ht="112.8" thickBot="1">
      <c r="A257" s="3">
        <v>255</v>
      </c>
      <c r="B257" s="3" t="s">
        <v>661</v>
      </c>
      <c r="C257" s="6" t="s">
        <v>708</v>
      </c>
      <c r="D257" s="6" t="s">
        <v>709</v>
      </c>
      <c r="E257" s="6" t="s">
        <v>710</v>
      </c>
      <c r="F257" s="5" t="s">
        <v>1612</v>
      </c>
      <c r="G257" s="5"/>
    </row>
    <row r="258" spans="1:7" ht="126.6" thickBot="1">
      <c r="A258" s="3">
        <v>256</v>
      </c>
      <c r="B258" s="3" t="s">
        <v>661</v>
      </c>
      <c r="C258" s="6" t="s">
        <v>711</v>
      </c>
      <c r="D258" s="6" t="s">
        <v>712</v>
      </c>
      <c r="E258" s="6" t="s">
        <v>713</v>
      </c>
      <c r="F258" s="5" t="s">
        <v>1619</v>
      </c>
      <c r="G258" s="5"/>
    </row>
    <row r="259" spans="1:7" ht="112.8" thickBot="1">
      <c r="A259" s="3">
        <v>257</v>
      </c>
      <c r="B259" s="3" t="s">
        <v>661</v>
      </c>
      <c r="C259" s="6" t="s">
        <v>714</v>
      </c>
      <c r="D259" s="6" t="s">
        <v>715</v>
      </c>
      <c r="E259" s="6" t="s">
        <v>140</v>
      </c>
      <c r="F259" s="43" t="s">
        <v>1617</v>
      </c>
      <c r="G259" s="5"/>
    </row>
    <row r="260" spans="1:7" ht="126.6" thickBot="1">
      <c r="A260" s="3">
        <v>258</v>
      </c>
      <c r="B260" s="3" t="s">
        <v>661</v>
      </c>
      <c r="C260" s="6" t="s">
        <v>716</v>
      </c>
      <c r="D260" s="6" t="s">
        <v>717</v>
      </c>
      <c r="E260" s="6" t="s">
        <v>718</v>
      </c>
      <c r="F260" s="5" t="s">
        <v>1622</v>
      </c>
      <c r="G260" s="5"/>
    </row>
    <row r="261" spans="1:7" ht="112.8" thickBot="1">
      <c r="A261" s="3">
        <v>259</v>
      </c>
      <c r="B261" s="3" t="s">
        <v>661</v>
      </c>
      <c r="C261" s="6" t="s">
        <v>719</v>
      </c>
      <c r="D261" s="6" t="s">
        <v>720</v>
      </c>
      <c r="E261" s="6" t="s">
        <v>721</v>
      </c>
      <c r="F261" s="43" t="s">
        <v>1617</v>
      </c>
      <c r="G261" s="5"/>
    </row>
    <row r="262" spans="1:7" ht="112.8" thickBot="1">
      <c r="A262" s="3">
        <v>260</v>
      </c>
      <c r="B262" s="3" t="s">
        <v>661</v>
      </c>
      <c r="C262" s="6" t="s">
        <v>722</v>
      </c>
      <c r="D262" s="6" t="s">
        <v>723</v>
      </c>
      <c r="E262" s="6" t="s">
        <v>724</v>
      </c>
      <c r="F262" s="5" t="s">
        <v>1612</v>
      </c>
      <c r="G262" s="5"/>
    </row>
    <row r="263" spans="1:7" ht="112.8" thickBot="1">
      <c r="A263" s="3">
        <v>261</v>
      </c>
      <c r="B263" s="3" t="s">
        <v>661</v>
      </c>
      <c r="C263" s="6" t="s">
        <v>725</v>
      </c>
      <c r="D263" s="6" t="s">
        <v>726</v>
      </c>
      <c r="E263" s="6" t="s">
        <v>727</v>
      </c>
      <c r="F263" s="5" t="s">
        <v>1612</v>
      </c>
      <c r="G263" s="5"/>
    </row>
    <row r="264" spans="1:7" ht="99" thickBot="1">
      <c r="A264" s="3">
        <v>262</v>
      </c>
      <c r="B264" s="3" t="s">
        <v>661</v>
      </c>
      <c r="C264" s="6" t="s">
        <v>728</v>
      </c>
      <c r="D264" s="6" t="s">
        <v>667</v>
      </c>
      <c r="E264" s="6" t="s">
        <v>729</v>
      </c>
      <c r="F264" s="5" t="s">
        <v>1622</v>
      </c>
      <c r="G264" s="5"/>
    </row>
    <row r="265" spans="1:7" ht="99" thickBot="1">
      <c r="A265" s="3">
        <v>263</v>
      </c>
      <c r="B265" s="3" t="s">
        <v>661</v>
      </c>
      <c r="C265" s="6" t="s">
        <v>730</v>
      </c>
      <c r="D265" s="6" t="s">
        <v>731</v>
      </c>
      <c r="E265" s="6" t="s">
        <v>732</v>
      </c>
      <c r="F265" s="5" t="s">
        <v>1612</v>
      </c>
      <c r="G265" s="5"/>
    </row>
    <row r="266" spans="1:7" ht="99" thickBot="1">
      <c r="A266" s="3">
        <v>264</v>
      </c>
      <c r="B266" s="3" t="s">
        <v>661</v>
      </c>
      <c r="C266" s="6" t="s">
        <v>733</v>
      </c>
      <c r="D266" s="6" t="s">
        <v>734</v>
      </c>
      <c r="E266" s="6" t="s">
        <v>735</v>
      </c>
      <c r="F266" s="5" t="s">
        <v>1619</v>
      </c>
      <c r="G266" s="5"/>
    </row>
    <row r="267" spans="1:7" ht="112.8" thickBot="1">
      <c r="A267" s="3">
        <v>265</v>
      </c>
      <c r="B267" s="3" t="s">
        <v>661</v>
      </c>
      <c r="C267" s="6" t="s">
        <v>736</v>
      </c>
      <c r="D267" s="6" t="s">
        <v>737</v>
      </c>
      <c r="E267" s="6" t="s">
        <v>738</v>
      </c>
      <c r="F267" s="5" t="s">
        <v>1619</v>
      </c>
      <c r="G267" s="5"/>
    </row>
    <row r="268" spans="1:7" ht="112.8" thickBot="1">
      <c r="A268" s="3">
        <v>266</v>
      </c>
      <c r="B268" s="3" t="s">
        <v>661</v>
      </c>
      <c r="C268" s="6" t="s">
        <v>739</v>
      </c>
      <c r="D268" s="6" t="s">
        <v>740</v>
      </c>
      <c r="E268" s="6" t="s">
        <v>741</v>
      </c>
      <c r="F268" s="5" t="s">
        <v>1619</v>
      </c>
      <c r="G268" s="5"/>
    </row>
    <row r="269" spans="1:7" ht="99" thickBot="1">
      <c r="A269" s="3">
        <v>267</v>
      </c>
      <c r="B269" s="3" t="s">
        <v>661</v>
      </c>
      <c r="C269" s="6" t="s">
        <v>742</v>
      </c>
      <c r="D269" s="6" t="s">
        <v>743</v>
      </c>
      <c r="E269" s="6" t="s">
        <v>744</v>
      </c>
      <c r="F269" s="5" t="s">
        <v>1612</v>
      </c>
      <c r="G269" s="5"/>
    </row>
    <row r="270" spans="1:7" ht="99" thickBot="1">
      <c r="A270" s="3">
        <v>268</v>
      </c>
      <c r="B270" s="3" t="s">
        <v>661</v>
      </c>
      <c r="C270" s="6" t="s">
        <v>745</v>
      </c>
      <c r="D270" s="6" t="s">
        <v>1661</v>
      </c>
      <c r="E270" s="6" t="s">
        <v>1662</v>
      </c>
      <c r="F270" s="43" t="s">
        <v>1618</v>
      </c>
      <c r="G270" s="5"/>
    </row>
    <row r="271" spans="1:7" ht="126.6" thickBot="1">
      <c r="A271" s="3">
        <v>269</v>
      </c>
      <c r="B271" s="3" t="s">
        <v>661</v>
      </c>
      <c r="C271" s="6" t="s">
        <v>746</v>
      </c>
      <c r="D271" s="6" t="s">
        <v>747</v>
      </c>
      <c r="E271" s="6" t="s">
        <v>748</v>
      </c>
      <c r="F271" s="43" t="s">
        <v>1617</v>
      </c>
      <c r="G271" s="5"/>
    </row>
    <row r="272" spans="1:7" ht="112.8" thickBot="1">
      <c r="A272" s="3">
        <v>270</v>
      </c>
      <c r="B272" s="3" t="s">
        <v>661</v>
      </c>
      <c r="C272" s="6" t="s">
        <v>749</v>
      </c>
      <c r="D272" s="6" t="s">
        <v>750</v>
      </c>
      <c r="E272" s="6" t="s">
        <v>751</v>
      </c>
      <c r="F272" s="5" t="s">
        <v>1612</v>
      </c>
      <c r="G272" s="5"/>
    </row>
    <row r="273" spans="1:7" ht="112.8" thickBot="1">
      <c r="A273" s="3">
        <v>271</v>
      </c>
      <c r="B273" s="3" t="s">
        <v>661</v>
      </c>
      <c r="C273" s="6" t="s">
        <v>752</v>
      </c>
      <c r="D273" s="6" t="s">
        <v>753</v>
      </c>
      <c r="E273" s="6" t="s">
        <v>754</v>
      </c>
      <c r="F273" s="5" t="s">
        <v>1620</v>
      </c>
      <c r="G273" s="5"/>
    </row>
    <row r="274" spans="1:7" ht="126.6" thickBot="1">
      <c r="A274" s="3">
        <v>272</v>
      </c>
      <c r="B274" s="3" t="s">
        <v>661</v>
      </c>
      <c r="C274" s="6" t="s">
        <v>755</v>
      </c>
      <c r="D274" s="6" t="s">
        <v>756</v>
      </c>
      <c r="E274" s="6" t="s">
        <v>757</v>
      </c>
      <c r="F274" s="5" t="s">
        <v>1612</v>
      </c>
      <c r="G274" s="5"/>
    </row>
    <row r="275" spans="1:7" ht="112.8" thickBot="1">
      <c r="A275" s="3">
        <v>273</v>
      </c>
      <c r="B275" s="3" t="s">
        <v>661</v>
      </c>
      <c r="C275" s="6" t="s">
        <v>758</v>
      </c>
      <c r="D275" s="6" t="s">
        <v>759</v>
      </c>
      <c r="E275" s="6" t="s">
        <v>760</v>
      </c>
      <c r="F275" s="5" t="s">
        <v>1622</v>
      </c>
      <c r="G275" s="5"/>
    </row>
    <row r="276" spans="1:7" ht="112.8" thickBot="1">
      <c r="A276" s="3">
        <v>274</v>
      </c>
      <c r="B276" s="3" t="s">
        <v>661</v>
      </c>
      <c r="C276" s="6" t="s">
        <v>761</v>
      </c>
      <c r="D276" s="6" t="s">
        <v>1663</v>
      </c>
      <c r="E276" s="6" t="s">
        <v>1664</v>
      </c>
      <c r="F276" s="5" t="s">
        <v>1612</v>
      </c>
      <c r="G276" s="5"/>
    </row>
    <row r="277" spans="1:7" ht="99" thickBot="1">
      <c r="A277" s="3">
        <v>275</v>
      </c>
      <c r="B277" s="3" t="s">
        <v>661</v>
      </c>
      <c r="C277" s="6" t="s">
        <v>762</v>
      </c>
      <c r="D277" s="6" t="s">
        <v>763</v>
      </c>
      <c r="E277" s="6" t="s">
        <v>764</v>
      </c>
      <c r="F277" s="5" t="s">
        <v>1622</v>
      </c>
      <c r="G277" s="5"/>
    </row>
    <row r="278" spans="1:7" ht="112.8" thickBot="1">
      <c r="A278" s="3">
        <v>276</v>
      </c>
      <c r="B278" s="3" t="s">
        <v>661</v>
      </c>
      <c r="C278" s="6" t="s">
        <v>765</v>
      </c>
      <c r="D278" s="6" t="s">
        <v>766</v>
      </c>
      <c r="E278" s="6" t="s">
        <v>767</v>
      </c>
      <c r="F278" s="5" t="s">
        <v>1612</v>
      </c>
      <c r="G278" s="5"/>
    </row>
    <row r="279" spans="1:7" ht="99" thickBot="1">
      <c r="A279" s="3">
        <v>277</v>
      </c>
      <c r="B279" s="3" t="s">
        <v>661</v>
      </c>
      <c r="C279" s="6" t="s">
        <v>768</v>
      </c>
      <c r="D279" s="6" t="s">
        <v>769</v>
      </c>
      <c r="E279" s="6" t="s">
        <v>667</v>
      </c>
      <c r="F279" s="5" t="s">
        <v>1620</v>
      </c>
      <c r="G279" s="5"/>
    </row>
    <row r="280" spans="1:7" ht="99" thickBot="1">
      <c r="A280" s="3">
        <v>278</v>
      </c>
      <c r="B280" s="3" t="s">
        <v>661</v>
      </c>
      <c r="C280" s="6" t="s">
        <v>770</v>
      </c>
      <c r="D280" s="6" t="s">
        <v>771</v>
      </c>
      <c r="E280" s="6" t="s">
        <v>772</v>
      </c>
      <c r="F280" s="5" t="s">
        <v>1612</v>
      </c>
      <c r="G280" s="5"/>
    </row>
    <row r="281" spans="1:7" ht="112.8" thickBot="1">
      <c r="A281" s="3">
        <v>279</v>
      </c>
      <c r="B281" s="3" t="s">
        <v>661</v>
      </c>
      <c r="C281" s="6" t="s">
        <v>773</v>
      </c>
      <c r="D281" s="6" t="s">
        <v>774</v>
      </c>
      <c r="E281" s="6" t="s">
        <v>775</v>
      </c>
      <c r="F281" s="43" t="s">
        <v>1617</v>
      </c>
      <c r="G281" s="5"/>
    </row>
    <row r="282" spans="1:7" ht="112.8" thickBot="1">
      <c r="A282" s="3">
        <v>280</v>
      </c>
      <c r="B282" s="3" t="s">
        <v>661</v>
      </c>
      <c r="C282" s="6" t="s">
        <v>776</v>
      </c>
      <c r="D282" s="6" t="s">
        <v>777</v>
      </c>
      <c r="E282" s="6" t="s">
        <v>778</v>
      </c>
      <c r="F282" s="5" t="s">
        <v>1622</v>
      </c>
      <c r="G282" s="5"/>
    </row>
    <row r="283" spans="1:7" ht="99" thickBot="1">
      <c r="A283" s="3">
        <v>281</v>
      </c>
      <c r="B283" s="3" t="s">
        <v>661</v>
      </c>
      <c r="C283" s="6" t="s">
        <v>779</v>
      </c>
      <c r="D283" s="6" t="s">
        <v>780</v>
      </c>
      <c r="E283" s="6" t="s">
        <v>781</v>
      </c>
      <c r="F283" s="5" t="s">
        <v>1620</v>
      </c>
      <c r="G283" s="5"/>
    </row>
    <row r="284" spans="1:7" ht="112.8" thickBot="1">
      <c r="A284" s="3">
        <v>282</v>
      </c>
      <c r="B284" s="3" t="s">
        <v>661</v>
      </c>
      <c r="C284" s="6" t="s">
        <v>782</v>
      </c>
      <c r="D284" s="6" t="s">
        <v>783</v>
      </c>
      <c r="E284" s="6" t="s">
        <v>784</v>
      </c>
      <c r="F284" s="43" t="s">
        <v>1617</v>
      </c>
      <c r="G284" s="5"/>
    </row>
    <row r="285" spans="1:7" ht="99" thickBot="1">
      <c r="A285" s="3">
        <v>283</v>
      </c>
      <c r="B285" s="3" t="s">
        <v>661</v>
      </c>
      <c r="C285" s="6" t="s">
        <v>785</v>
      </c>
      <c r="D285" s="6" t="s">
        <v>786</v>
      </c>
      <c r="E285" s="6" t="s">
        <v>787</v>
      </c>
      <c r="F285" s="5" t="s">
        <v>1619</v>
      </c>
      <c r="G285" s="5"/>
    </row>
    <row r="286" spans="1:7" ht="99" thickBot="1">
      <c r="A286" s="3">
        <v>284</v>
      </c>
      <c r="B286" s="3" t="s">
        <v>661</v>
      </c>
      <c r="C286" s="6" t="s">
        <v>788</v>
      </c>
      <c r="D286" s="6" t="s">
        <v>789</v>
      </c>
      <c r="E286" s="6" t="s">
        <v>790</v>
      </c>
      <c r="F286" s="5" t="s">
        <v>1620</v>
      </c>
      <c r="G286" s="5"/>
    </row>
    <row r="287" spans="1:7" ht="112.8" thickBot="1">
      <c r="A287" s="3">
        <v>285</v>
      </c>
      <c r="B287" s="3" t="s">
        <v>661</v>
      </c>
      <c r="C287" s="6" t="s">
        <v>791</v>
      </c>
      <c r="D287" s="6" t="s">
        <v>792</v>
      </c>
      <c r="E287" s="6" t="s">
        <v>793</v>
      </c>
      <c r="F287" s="43" t="s">
        <v>1617</v>
      </c>
      <c r="G287" s="5"/>
    </row>
    <row r="288" spans="1:7" ht="99" thickBot="1">
      <c r="A288" s="3">
        <v>286</v>
      </c>
      <c r="B288" s="3" t="s">
        <v>661</v>
      </c>
      <c r="C288" s="6" t="s">
        <v>794</v>
      </c>
      <c r="D288" s="6" t="s">
        <v>795</v>
      </c>
      <c r="E288" s="6" t="s">
        <v>796</v>
      </c>
      <c r="F288" s="5" t="s">
        <v>1612</v>
      </c>
      <c r="G288" s="5"/>
    </row>
    <row r="289" spans="1:7" ht="112.8" thickBot="1">
      <c r="A289" s="3">
        <v>287</v>
      </c>
      <c r="B289" s="3" t="s">
        <v>661</v>
      </c>
      <c r="C289" s="6" t="s">
        <v>797</v>
      </c>
      <c r="D289" s="6" t="s">
        <v>798</v>
      </c>
      <c r="E289" s="6" t="s">
        <v>799</v>
      </c>
      <c r="F289" s="43" t="s">
        <v>1617</v>
      </c>
      <c r="G289" s="5"/>
    </row>
    <row r="290" spans="1:7" ht="112.8" thickBot="1">
      <c r="A290" s="3">
        <v>288</v>
      </c>
      <c r="B290" s="3" t="s">
        <v>661</v>
      </c>
      <c r="C290" s="6" t="s">
        <v>800</v>
      </c>
      <c r="D290" s="6" t="s">
        <v>801</v>
      </c>
      <c r="E290" s="6" t="s">
        <v>1665</v>
      </c>
      <c r="F290" s="5" t="s">
        <v>1619</v>
      </c>
      <c r="G290" s="5"/>
    </row>
    <row r="291" spans="1:7" ht="112.8" thickBot="1">
      <c r="A291" s="3">
        <v>289</v>
      </c>
      <c r="B291" s="3" t="s">
        <v>661</v>
      </c>
      <c r="C291" s="6" t="s">
        <v>802</v>
      </c>
      <c r="D291" s="6" t="s">
        <v>803</v>
      </c>
      <c r="E291" s="6" t="s">
        <v>804</v>
      </c>
      <c r="F291" s="5" t="s">
        <v>1612</v>
      </c>
      <c r="G291" s="5"/>
    </row>
    <row r="292" spans="1:7" ht="99" thickBot="1">
      <c r="A292" s="3">
        <v>290</v>
      </c>
      <c r="B292" s="3" t="s">
        <v>661</v>
      </c>
      <c r="C292" s="6" t="s">
        <v>805</v>
      </c>
      <c r="D292" s="6" t="s">
        <v>806</v>
      </c>
      <c r="E292" s="6" t="s">
        <v>807</v>
      </c>
      <c r="F292" s="43" t="s">
        <v>1623</v>
      </c>
      <c r="G292" s="5"/>
    </row>
    <row r="293" spans="1:7" ht="126.6" thickBot="1">
      <c r="A293" s="3">
        <v>291</v>
      </c>
      <c r="B293" s="3" t="s">
        <v>661</v>
      </c>
      <c r="C293" s="6" t="s">
        <v>808</v>
      </c>
      <c r="D293" s="6" t="s">
        <v>809</v>
      </c>
      <c r="E293" s="6" t="s">
        <v>810</v>
      </c>
      <c r="F293" s="5" t="s">
        <v>1612</v>
      </c>
      <c r="G293" s="5"/>
    </row>
    <row r="294" spans="1:7" ht="112.8" thickBot="1">
      <c r="A294" s="3">
        <v>292</v>
      </c>
      <c r="B294" s="3" t="s">
        <v>661</v>
      </c>
      <c r="C294" s="6" t="s">
        <v>811</v>
      </c>
      <c r="D294" s="6" t="s">
        <v>812</v>
      </c>
      <c r="E294" s="6" t="s">
        <v>813</v>
      </c>
      <c r="F294" s="5" t="s">
        <v>1612</v>
      </c>
      <c r="G294" s="5"/>
    </row>
    <row r="295" spans="1:7" ht="112.8" thickBot="1">
      <c r="A295" s="3">
        <v>293</v>
      </c>
      <c r="B295" s="3" t="s">
        <v>661</v>
      </c>
      <c r="C295" s="6" t="s">
        <v>814</v>
      </c>
      <c r="D295" s="6" t="s">
        <v>815</v>
      </c>
      <c r="E295" s="6" t="s">
        <v>816</v>
      </c>
      <c r="F295" s="5" t="s">
        <v>1612</v>
      </c>
      <c r="G295" s="5"/>
    </row>
    <row r="296" spans="1:7" ht="112.8" thickBot="1">
      <c r="A296" s="3">
        <v>294</v>
      </c>
      <c r="B296" s="3" t="s">
        <v>661</v>
      </c>
      <c r="C296" s="6" t="s">
        <v>817</v>
      </c>
      <c r="D296" s="6" t="s">
        <v>818</v>
      </c>
      <c r="E296" s="6" t="s">
        <v>819</v>
      </c>
      <c r="F296" s="5" t="s">
        <v>1612</v>
      </c>
      <c r="G296" s="5"/>
    </row>
    <row r="297" spans="1:7" ht="112.8" thickBot="1">
      <c r="A297" s="3">
        <v>295</v>
      </c>
      <c r="B297" s="3" t="s">
        <v>661</v>
      </c>
      <c r="C297" s="6" t="s">
        <v>820</v>
      </c>
      <c r="D297" s="6" t="s">
        <v>821</v>
      </c>
      <c r="E297" s="6" t="s">
        <v>822</v>
      </c>
      <c r="F297" s="5" t="s">
        <v>1619</v>
      </c>
      <c r="G297" s="5"/>
    </row>
    <row r="298" spans="1:7" ht="112.8" thickBot="1">
      <c r="A298" s="3">
        <v>296</v>
      </c>
      <c r="B298" s="3" t="s">
        <v>661</v>
      </c>
      <c r="C298" s="6" t="s">
        <v>823</v>
      </c>
      <c r="D298" s="6" t="s">
        <v>824</v>
      </c>
      <c r="E298" s="6" t="s">
        <v>825</v>
      </c>
      <c r="F298" s="5" t="s">
        <v>1612</v>
      </c>
      <c r="G298" s="5"/>
    </row>
    <row r="299" spans="1:7" ht="99" thickBot="1">
      <c r="A299" s="3">
        <v>297</v>
      </c>
      <c r="B299" s="3" t="s">
        <v>661</v>
      </c>
      <c r="C299" s="6" t="s">
        <v>826</v>
      </c>
      <c r="D299" s="6" t="s">
        <v>827</v>
      </c>
      <c r="E299" s="6" t="s">
        <v>734</v>
      </c>
      <c r="F299" s="43" t="s">
        <v>1617</v>
      </c>
      <c r="G299" s="5"/>
    </row>
    <row r="300" spans="1:7" ht="112.8" thickBot="1">
      <c r="A300" s="3">
        <v>298</v>
      </c>
      <c r="B300" s="3" t="s">
        <v>661</v>
      </c>
      <c r="C300" s="6" t="s">
        <v>828</v>
      </c>
      <c r="D300" s="6" t="s">
        <v>829</v>
      </c>
      <c r="E300" s="6" t="s">
        <v>830</v>
      </c>
      <c r="F300" s="5" t="s">
        <v>1620</v>
      </c>
      <c r="G300" s="5"/>
    </row>
    <row r="301" spans="1:7" ht="112.8" thickBot="1">
      <c r="A301" s="3">
        <v>299</v>
      </c>
      <c r="B301" s="3" t="s">
        <v>661</v>
      </c>
      <c r="C301" s="6" t="s">
        <v>831</v>
      </c>
      <c r="D301" s="6" t="s">
        <v>812</v>
      </c>
      <c r="E301" s="6" t="s">
        <v>832</v>
      </c>
      <c r="F301" s="5" t="s">
        <v>1620</v>
      </c>
      <c r="G301" s="5"/>
    </row>
    <row r="302" spans="1:7" ht="99" thickBot="1">
      <c r="A302" s="3">
        <v>300</v>
      </c>
      <c r="B302" s="3" t="s">
        <v>661</v>
      </c>
      <c r="C302" s="6" t="s">
        <v>833</v>
      </c>
      <c r="D302" s="6" t="s">
        <v>834</v>
      </c>
      <c r="E302" s="6" t="s">
        <v>835</v>
      </c>
      <c r="F302" s="5" t="s">
        <v>1612</v>
      </c>
      <c r="G302" s="5"/>
    </row>
    <row r="303" spans="1:7" ht="126.6" thickBot="1">
      <c r="A303" s="3">
        <v>301</v>
      </c>
      <c r="B303" s="3" t="s">
        <v>661</v>
      </c>
      <c r="C303" s="6" t="s">
        <v>836</v>
      </c>
      <c r="D303" s="6" t="s">
        <v>837</v>
      </c>
      <c r="E303" s="6" t="s">
        <v>838</v>
      </c>
      <c r="F303" s="5" t="s">
        <v>1612</v>
      </c>
      <c r="G303" s="5"/>
    </row>
    <row r="304" spans="1:7" ht="112.8" thickBot="1">
      <c r="A304" s="3">
        <v>302</v>
      </c>
      <c r="B304" s="3" t="s">
        <v>661</v>
      </c>
      <c r="C304" s="6" t="s">
        <v>839</v>
      </c>
      <c r="D304" s="6" t="s">
        <v>840</v>
      </c>
      <c r="E304" s="6" t="s">
        <v>841</v>
      </c>
      <c r="F304" s="5" t="s">
        <v>1612</v>
      </c>
      <c r="G304" s="5"/>
    </row>
    <row r="305" spans="1:7" ht="99" thickBot="1">
      <c r="A305" s="3">
        <v>303</v>
      </c>
      <c r="B305" s="3" t="s">
        <v>661</v>
      </c>
      <c r="C305" s="6" t="s">
        <v>842</v>
      </c>
      <c r="D305" s="6" t="s">
        <v>806</v>
      </c>
      <c r="E305" s="6" t="s">
        <v>843</v>
      </c>
      <c r="F305" s="43" t="s">
        <v>1623</v>
      </c>
      <c r="G305" s="5"/>
    </row>
    <row r="306" spans="1:7" ht="112.8" thickBot="1">
      <c r="A306" s="3">
        <v>304</v>
      </c>
      <c r="B306" s="3" t="s">
        <v>661</v>
      </c>
      <c r="C306" s="6" t="s">
        <v>844</v>
      </c>
      <c r="D306" s="6" t="s">
        <v>845</v>
      </c>
      <c r="E306" s="6" t="s">
        <v>846</v>
      </c>
      <c r="F306" s="5" t="s">
        <v>1619</v>
      </c>
      <c r="G306" s="5"/>
    </row>
    <row r="307" spans="1:7" ht="112.8" thickBot="1">
      <c r="A307" s="3">
        <v>305</v>
      </c>
      <c r="B307" s="3" t="s">
        <v>661</v>
      </c>
      <c r="C307" s="6" t="s">
        <v>847</v>
      </c>
      <c r="D307" s="6" t="s">
        <v>848</v>
      </c>
      <c r="E307" s="6" t="s">
        <v>849</v>
      </c>
      <c r="F307" s="43" t="s">
        <v>1617</v>
      </c>
      <c r="G307" s="5"/>
    </row>
    <row r="308" spans="1:7" ht="140.4" thickBot="1">
      <c r="A308" s="3">
        <v>306</v>
      </c>
      <c r="B308" s="3" t="s">
        <v>661</v>
      </c>
      <c r="C308" s="6" t="s">
        <v>850</v>
      </c>
      <c r="D308" s="6" t="s">
        <v>851</v>
      </c>
      <c r="E308" s="6" t="s">
        <v>852</v>
      </c>
      <c r="F308" s="43" t="s">
        <v>1617</v>
      </c>
      <c r="G308" s="5"/>
    </row>
    <row r="309" spans="1:7" ht="112.8" thickBot="1">
      <c r="A309" s="3">
        <v>307</v>
      </c>
      <c r="B309" s="3" t="s">
        <v>661</v>
      </c>
      <c r="C309" s="6" t="s">
        <v>853</v>
      </c>
      <c r="D309" s="6" t="s">
        <v>854</v>
      </c>
      <c r="E309" s="6" t="s">
        <v>855</v>
      </c>
      <c r="F309" s="5" t="s">
        <v>1613</v>
      </c>
      <c r="G309" s="5"/>
    </row>
    <row r="310" spans="1:7" ht="99" thickBot="1">
      <c r="A310" s="3">
        <v>308</v>
      </c>
      <c r="B310" s="3" t="s">
        <v>661</v>
      </c>
      <c r="C310" s="6" t="s">
        <v>856</v>
      </c>
      <c r="D310" s="6" t="s">
        <v>857</v>
      </c>
      <c r="E310" s="6" t="s">
        <v>858</v>
      </c>
      <c r="F310" s="43" t="s">
        <v>1617</v>
      </c>
      <c r="G310" s="5"/>
    </row>
    <row r="311" spans="1:7" ht="99" thickBot="1">
      <c r="A311" s="3">
        <v>309</v>
      </c>
      <c r="B311" s="3" t="s">
        <v>661</v>
      </c>
      <c r="C311" s="6" t="s">
        <v>859</v>
      </c>
      <c r="D311" s="6" t="s">
        <v>860</v>
      </c>
      <c r="E311" s="6" t="s">
        <v>861</v>
      </c>
      <c r="F311" s="43" t="s">
        <v>1623</v>
      </c>
      <c r="G311" s="5"/>
    </row>
    <row r="312" spans="1:7" ht="99" thickBot="1">
      <c r="A312" s="3">
        <v>310</v>
      </c>
      <c r="B312" s="3" t="s">
        <v>661</v>
      </c>
      <c r="C312" s="6" t="s">
        <v>862</v>
      </c>
      <c r="D312" s="6" t="s">
        <v>676</v>
      </c>
      <c r="E312" s="6" t="s">
        <v>863</v>
      </c>
      <c r="F312" s="5" t="s">
        <v>1620</v>
      </c>
      <c r="G312" s="5"/>
    </row>
    <row r="313" spans="1:7" ht="112.8" thickBot="1">
      <c r="A313" s="3">
        <v>311</v>
      </c>
      <c r="B313" s="3" t="s">
        <v>661</v>
      </c>
      <c r="C313" s="6" t="s">
        <v>864</v>
      </c>
      <c r="D313" s="6" t="s">
        <v>865</v>
      </c>
      <c r="E313" s="6" t="s">
        <v>866</v>
      </c>
      <c r="F313" s="5" t="s">
        <v>1612</v>
      </c>
      <c r="G313" s="5"/>
    </row>
    <row r="314" spans="1:7" ht="112.8" thickBot="1">
      <c r="A314" s="3">
        <v>312</v>
      </c>
      <c r="B314" s="3" t="s">
        <v>661</v>
      </c>
      <c r="C314" s="6" t="s">
        <v>867</v>
      </c>
      <c r="D314" s="6" t="s">
        <v>868</v>
      </c>
      <c r="E314" s="6" t="s">
        <v>869</v>
      </c>
      <c r="F314" s="5" t="s">
        <v>1612</v>
      </c>
      <c r="G314" s="5"/>
    </row>
    <row r="315" spans="1:7" ht="112.8" thickBot="1">
      <c r="A315" s="3">
        <v>313</v>
      </c>
      <c r="B315" s="3" t="s">
        <v>661</v>
      </c>
      <c r="C315" s="6" t="s">
        <v>870</v>
      </c>
      <c r="D315" s="6" t="s">
        <v>871</v>
      </c>
      <c r="E315" s="6" t="s">
        <v>872</v>
      </c>
      <c r="F315" s="43" t="s">
        <v>1617</v>
      </c>
      <c r="G315" s="5"/>
    </row>
    <row r="316" spans="1:7" ht="99" thickBot="1">
      <c r="A316" s="3">
        <v>314</v>
      </c>
      <c r="B316" s="3" t="s">
        <v>661</v>
      </c>
      <c r="C316" s="6" t="s">
        <v>873</v>
      </c>
      <c r="D316" s="6" t="s">
        <v>874</v>
      </c>
      <c r="E316" s="6" t="s">
        <v>1134</v>
      </c>
      <c r="F316" s="5" t="s">
        <v>1619</v>
      </c>
      <c r="G316" s="5"/>
    </row>
    <row r="317" spans="1:7" ht="99" thickBot="1">
      <c r="A317" s="3">
        <v>315</v>
      </c>
      <c r="B317" s="3" t="s">
        <v>661</v>
      </c>
      <c r="C317" s="6" t="s">
        <v>875</v>
      </c>
      <c r="D317" s="6" t="s">
        <v>876</v>
      </c>
      <c r="E317" s="6" t="s">
        <v>877</v>
      </c>
      <c r="F317" s="43" t="s">
        <v>1623</v>
      </c>
      <c r="G317" s="5"/>
    </row>
    <row r="318" spans="1:7" ht="99" thickBot="1">
      <c r="A318" s="3">
        <v>316</v>
      </c>
      <c r="B318" s="3" t="s">
        <v>661</v>
      </c>
      <c r="C318" s="6" t="s">
        <v>878</v>
      </c>
      <c r="D318" s="6" t="s">
        <v>879</v>
      </c>
      <c r="E318" s="6" t="s">
        <v>880</v>
      </c>
      <c r="F318" s="5" t="s">
        <v>1612</v>
      </c>
      <c r="G318" s="5"/>
    </row>
    <row r="319" spans="1:7" ht="99" thickBot="1">
      <c r="A319" s="3">
        <v>317</v>
      </c>
      <c r="B319" s="3" t="s">
        <v>661</v>
      </c>
      <c r="C319" s="6" t="s">
        <v>881</v>
      </c>
      <c r="D319" s="6" t="s">
        <v>882</v>
      </c>
      <c r="E319" s="6" t="s">
        <v>883</v>
      </c>
      <c r="F319" s="5" t="s">
        <v>1612</v>
      </c>
      <c r="G319" s="5"/>
    </row>
    <row r="320" spans="1:7" ht="126.6" thickBot="1">
      <c r="A320" s="3">
        <v>318</v>
      </c>
      <c r="B320" s="3" t="s">
        <v>661</v>
      </c>
      <c r="C320" s="6" t="s">
        <v>884</v>
      </c>
      <c r="D320" s="6" t="s">
        <v>885</v>
      </c>
      <c r="E320" s="6" t="s">
        <v>886</v>
      </c>
      <c r="F320" s="43" t="s">
        <v>1617</v>
      </c>
      <c r="G320" s="5"/>
    </row>
    <row r="321" spans="1:7" ht="140.4" thickBot="1">
      <c r="A321" s="3">
        <v>319</v>
      </c>
      <c r="B321" s="3" t="s">
        <v>661</v>
      </c>
      <c r="C321" s="6" t="s">
        <v>887</v>
      </c>
      <c r="D321" s="6" t="s">
        <v>888</v>
      </c>
      <c r="E321" s="6" t="s">
        <v>889</v>
      </c>
      <c r="F321" s="5" t="s">
        <v>1612</v>
      </c>
      <c r="G321" s="5"/>
    </row>
    <row r="322" spans="1:7" ht="112.8" thickBot="1">
      <c r="A322" s="3">
        <v>320</v>
      </c>
      <c r="B322" s="3" t="s">
        <v>661</v>
      </c>
      <c r="C322" s="6" t="s">
        <v>890</v>
      </c>
      <c r="D322" s="6" t="s">
        <v>891</v>
      </c>
      <c r="E322" s="6" t="s">
        <v>892</v>
      </c>
      <c r="F322" s="43" t="s">
        <v>1618</v>
      </c>
      <c r="G322" s="5"/>
    </row>
    <row r="323" spans="1:7" ht="99" thickBot="1">
      <c r="A323" s="3">
        <v>321</v>
      </c>
      <c r="B323" s="3" t="s">
        <v>661</v>
      </c>
      <c r="C323" s="6" t="s">
        <v>893</v>
      </c>
      <c r="D323" s="6" t="s">
        <v>894</v>
      </c>
      <c r="E323" s="6" t="s">
        <v>895</v>
      </c>
      <c r="F323" s="5" t="s">
        <v>1619</v>
      </c>
      <c r="G323" s="5"/>
    </row>
    <row r="324" spans="1:7" ht="99" thickBot="1">
      <c r="A324" s="3">
        <v>322</v>
      </c>
      <c r="B324" s="3" t="s">
        <v>661</v>
      </c>
      <c r="C324" s="6" t="s">
        <v>896</v>
      </c>
      <c r="D324" s="6" t="s">
        <v>667</v>
      </c>
      <c r="E324" s="6" t="s">
        <v>897</v>
      </c>
      <c r="F324" s="5" t="s">
        <v>1622</v>
      </c>
      <c r="G324" s="5"/>
    </row>
    <row r="325" spans="1:7" ht="112.8" thickBot="1">
      <c r="A325" s="3">
        <v>323</v>
      </c>
      <c r="B325" s="3" t="s">
        <v>661</v>
      </c>
      <c r="C325" s="6" t="s">
        <v>898</v>
      </c>
      <c r="D325" s="6" t="s">
        <v>899</v>
      </c>
      <c r="E325" s="6" t="s">
        <v>900</v>
      </c>
      <c r="F325" s="5" t="s">
        <v>1612</v>
      </c>
      <c r="G325" s="5"/>
    </row>
    <row r="326" spans="1:7" ht="126.6" thickBot="1">
      <c r="A326" s="3">
        <v>324</v>
      </c>
      <c r="B326" s="3" t="s">
        <v>661</v>
      </c>
      <c r="C326" s="6" t="s">
        <v>901</v>
      </c>
      <c r="D326" s="6" t="s">
        <v>902</v>
      </c>
      <c r="E326" s="6" t="s">
        <v>903</v>
      </c>
      <c r="F326" s="5" t="s">
        <v>1612</v>
      </c>
      <c r="G326" s="5"/>
    </row>
    <row r="327" spans="1:7" ht="168" thickBot="1">
      <c r="A327" s="3">
        <v>325</v>
      </c>
      <c r="B327" s="3" t="s">
        <v>661</v>
      </c>
      <c r="C327" s="6" t="s">
        <v>904</v>
      </c>
      <c r="D327" s="6" t="s">
        <v>905</v>
      </c>
      <c r="E327" s="6" t="s">
        <v>906</v>
      </c>
      <c r="F327" s="5" t="s">
        <v>1613</v>
      </c>
      <c r="G327" s="5"/>
    </row>
    <row r="328" spans="1:7" ht="126.6" thickBot="1">
      <c r="A328" s="3">
        <v>326</v>
      </c>
      <c r="B328" s="3" t="s">
        <v>661</v>
      </c>
      <c r="C328" s="6" t="s">
        <v>907</v>
      </c>
      <c r="D328" s="6" t="s">
        <v>908</v>
      </c>
      <c r="E328" s="6" t="s">
        <v>909</v>
      </c>
      <c r="F328" s="5" t="s">
        <v>1612</v>
      </c>
      <c r="G328" s="5"/>
    </row>
    <row r="329" spans="1:7" ht="99" thickBot="1">
      <c r="A329" s="3">
        <v>327</v>
      </c>
      <c r="B329" s="3" t="s">
        <v>661</v>
      </c>
      <c r="C329" s="6" t="s">
        <v>910</v>
      </c>
      <c r="D329" s="6" t="s">
        <v>911</v>
      </c>
      <c r="E329" s="6" t="s">
        <v>912</v>
      </c>
      <c r="F329" s="5" t="s">
        <v>1612</v>
      </c>
      <c r="G329" s="5"/>
    </row>
    <row r="330" spans="1:7" ht="112.8" thickBot="1">
      <c r="A330" s="3">
        <v>328</v>
      </c>
      <c r="B330" s="3" t="s">
        <v>661</v>
      </c>
      <c r="C330" s="6" t="s">
        <v>913</v>
      </c>
      <c r="D330" s="6" t="s">
        <v>914</v>
      </c>
      <c r="E330" s="6" t="s">
        <v>915</v>
      </c>
      <c r="F330" s="43" t="s">
        <v>1618</v>
      </c>
      <c r="G330" s="5"/>
    </row>
    <row r="331" spans="1:7" ht="112.8" thickBot="1">
      <c r="A331" s="3">
        <v>329</v>
      </c>
      <c r="B331" s="3" t="s">
        <v>661</v>
      </c>
      <c r="C331" s="6" t="s">
        <v>916</v>
      </c>
      <c r="D331" s="6" t="s">
        <v>871</v>
      </c>
      <c r="E331" s="6" t="s">
        <v>917</v>
      </c>
      <c r="F331" s="43" t="s">
        <v>1617</v>
      </c>
      <c r="G331" s="5"/>
    </row>
    <row r="332" spans="1:7" ht="99" thickBot="1">
      <c r="A332" s="3">
        <v>330</v>
      </c>
      <c r="B332" s="3" t="s">
        <v>661</v>
      </c>
      <c r="C332" s="6" t="s">
        <v>918</v>
      </c>
      <c r="D332" s="6" t="s">
        <v>919</v>
      </c>
      <c r="E332" s="6" t="s">
        <v>920</v>
      </c>
      <c r="F332" s="5" t="s">
        <v>1619</v>
      </c>
      <c r="G332" s="5"/>
    </row>
    <row r="333" spans="1:7" ht="112.8" thickBot="1">
      <c r="A333" s="3">
        <v>331</v>
      </c>
      <c r="B333" s="3" t="s">
        <v>661</v>
      </c>
      <c r="C333" s="6" t="s">
        <v>921</v>
      </c>
      <c r="D333" s="6" t="s">
        <v>922</v>
      </c>
      <c r="E333" s="6" t="s">
        <v>923</v>
      </c>
      <c r="F333" s="43" t="s">
        <v>1617</v>
      </c>
      <c r="G333" s="5"/>
    </row>
    <row r="334" spans="1:7" ht="140.4" thickBot="1">
      <c r="A334" s="3">
        <v>332</v>
      </c>
      <c r="B334" s="3" t="s">
        <v>661</v>
      </c>
      <c r="C334" s="6" t="s">
        <v>924</v>
      </c>
      <c r="D334" s="6" t="s">
        <v>925</v>
      </c>
      <c r="E334" s="6" t="s">
        <v>926</v>
      </c>
      <c r="F334" s="43" t="s">
        <v>1617</v>
      </c>
      <c r="G334" s="5"/>
    </row>
    <row r="335" spans="1:7" ht="112.8" thickBot="1">
      <c r="A335" s="3">
        <v>333</v>
      </c>
      <c r="B335" s="3" t="s">
        <v>661</v>
      </c>
      <c r="C335" s="6" t="s">
        <v>927</v>
      </c>
      <c r="D335" s="6" t="s">
        <v>928</v>
      </c>
      <c r="E335" s="6" t="s">
        <v>929</v>
      </c>
      <c r="F335" s="5" t="s">
        <v>1612</v>
      </c>
      <c r="G335" s="5"/>
    </row>
    <row r="336" spans="1:7" ht="112.8" thickBot="1">
      <c r="A336" s="3">
        <v>334</v>
      </c>
      <c r="B336" s="3" t="s">
        <v>661</v>
      </c>
      <c r="C336" s="6" t="s">
        <v>930</v>
      </c>
      <c r="D336" s="6" t="s">
        <v>931</v>
      </c>
      <c r="E336" s="6" t="s">
        <v>932</v>
      </c>
      <c r="F336" s="5" t="s">
        <v>1619</v>
      </c>
      <c r="G336" s="5"/>
    </row>
    <row r="337" spans="1:7" ht="99" thickBot="1">
      <c r="A337" s="3">
        <v>335</v>
      </c>
      <c r="B337" s="3" t="s">
        <v>661</v>
      </c>
      <c r="C337" s="6" t="s">
        <v>933</v>
      </c>
      <c r="D337" s="6" t="s">
        <v>934</v>
      </c>
      <c r="E337" s="6" t="s">
        <v>935</v>
      </c>
      <c r="F337" s="5" t="s">
        <v>1619</v>
      </c>
      <c r="G337" s="5"/>
    </row>
    <row r="338" spans="1:7" ht="99" thickBot="1">
      <c r="A338" s="3">
        <v>336</v>
      </c>
      <c r="B338" s="3" t="s">
        <v>661</v>
      </c>
      <c r="C338" s="6" t="s">
        <v>936</v>
      </c>
      <c r="D338" s="6" t="s">
        <v>789</v>
      </c>
      <c r="E338" s="6" t="s">
        <v>937</v>
      </c>
      <c r="F338" s="5" t="s">
        <v>1619</v>
      </c>
      <c r="G338" s="5"/>
    </row>
    <row r="339" spans="1:7" ht="112.8" thickBot="1">
      <c r="A339" s="3">
        <v>337</v>
      </c>
      <c r="B339" s="3" t="s">
        <v>661</v>
      </c>
      <c r="C339" s="6" t="s">
        <v>938</v>
      </c>
      <c r="D339" s="6" t="s">
        <v>939</v>
      </c>
      <c r="E339" s="6" t="s">
        <v>940</v>
      </c>
      <c r="F339" s="5" t="s">
        <v>1612</v>
      </c>
      <c r="G339" s="5"/>
    </row>
    <row r="340" spans="1:7" ht="99" thickBot="1">
      <c r="A340" s="3">
        <v>338</v>
      </c>
      <c r="B340" s="3" t="s">
        <v>661</v>
      </c>
      <c r="C340" s="6" t="s">
        <v>941</v>
      </c>
      <c r="D340" s="6" t="s">
        <v>934</v>
      </c>
      <c r="E340" s="6" t="s">
        <v>942</v>
      </c>
      <c r="F340" s="5" t="s">
        <v>1619</v>
      </c>
      <c r="G340" s="5"/>
    </row>
    <row r="341" spans="1:7" ht="112.8" thickBot="1">
      <c r="A341" s="3">
        <v>339</v>
      </c>
      <c r="B341" s="3" t="s">
        <v>661</v>
      </c>
      <c r="C341" s="6" t="s">
        <v>943</v>
      </c>
      <c r="D341" s="6" t="s">
        <v>944</v>
      </c>
      <c r="E341" s="6" t="s">
        <v>945</v>
      </c>
      <c r="F341" s="5" t="s">
        <v>1612</v>
      </c>
      <c r="G341" s="5"/>
    </row>
    <row r="342" spans="1:7" ht="168" thickBot="1">
      <c r="A342" s="3">
        <v>340</v>
      </c>
      <c r="B342" s="3" t="s">
        <v>661</v>
      </c>
      <c r="C342" s="6" t="s">
        <v>946</v>
      </c>
      <c r="D342" s="6" t="s">
        <v>947</v>
      </c>
      <c r="E342" s="6" t="s">
        <v>948</v>
      </c>
      <c r="F342" s="5" t="s">
        <v>1612</v>
      </c>
      <c r="G342" s="5"/>
    </row>
    <row r="343" spans="1:7" ht="112.8" thickBot="1">
      <c r="A343" s="3">
        <v>341</v>
      </c>
      <c r="B343" s="3" t="s">
        <v>661</v>
      </c>
      <c r="C343" s="6" t="s">
        <v>949</v>
      </c>
      <c r="D343" s="6" t="s">
        <v>950</v>
      </c>
      <c r="E343" s="6" t="s">
        <v>951</v>
      </c>
      <c r="F343" s="5" t="s">
        <v>1612</v>
      </c>
      <c r="G343" s="5"/>
    </row>
    <row r="344" spans="1:7" ht="112.8" thickBot="1">
      <c r="A344" s="3">
        <v>342</v>
      </c>
      <c r="B344" s="3" t="s">
        <v>661</v>
      </c>
      <c r="C344" s="6" t="s">
        <v>952</v>
      </c>
      <c r="D344" s="6" t="s">
        <v>953</v>
      </c>
      <c r="E344" s="6" t="s">
        <v>954</v>
      </c>
      <c r="F344" s="5" t="s">
        <v>1612</v>
      </c>
      <c r="G344" s="5"/>
    </row>
    <row r="345" spans="1:7" ht="126.6" thickBot="1">
      <c r="A345" s="3">
        <v>343</v>
      </c>
      <c r="B345" s="3" t="s">
        <v>661</v>
      </c>
      <c r="C345" s="6" t="s">
        <v>955</v>
      </c>
      <c r="D345" s="6" t="s">
        <v>956</v>
      </c>
      <c r="E345" s="6" t="s">
        <v>957</v>
      </c>
      <c r="F345" s="5" t="s">
        <v>1612</v>
      </c>
      <c r="G345" s="5"/>
    </row>
    <row r="346" spans="1:7" ht="112.8" thickBot="1">
      <c r="A346" s="3">
        <v>344</v>
      </c>
      <c r="B346" s="3" t="s">
        <v>661</v>
      </c>
      <c r="C346" s="6" t="s">
        <v>958</v>
      </c>
      <c r="D346" s="6" t="s">
        <v>959</v>
      </c>
      <c r="E346" s="6" t="s">
        <v>960</v>
      </c>
      <c r="F346" s="5" t="s">
        <v>1620</v>
      </c>
      <c r="G346" s="5"/>
    </row>
    <row r="347" spans="1:7" ht="99" thickBot="1">
      <c r="A347" s="3">
        <v>345</v>
      </c>
      <c r="B347" s="3" t="s">
        <v>661</v>
      </c>
      <c r="C347" s="6" t="s">
        <v>961</v>
      </c>
      <c r="D347" s="6" t="s">
        <v>914</v>
      </c>
      <c r="E347" s="6" t="s">
        <v>962</v>
      </c>
      <c r="F347" s="5" t="s">
        <v>1619</v>
      </c>
      <c r="G347" s="5"/>
    </row>
    <row r="348" spans="1:7" ht="99" thickBot="1">
      <c r="A348" s="3">
        <v>346</v>
      </c>
      <c r="B348" s="3" t="s">
        <v>661</v>
      </c>
      <c r="C348" s="6" t="s">
        <v>963</v>
      </c>
      <c r="D348" s="6" t="s">
        <v>964</v>
      </c>
      <c r="E348" s="6" t="s">
        <v>965</v>
      </c>
      <c r="F348" s="43" t="s">
        <v>1618</v>
      </c>
      <c r="G348" s="5"/>
    </row>
    <row r="349" spans="1:7" ht="99" thickBot="1">
      <c r="A349" s="3">
        <v>347</v>
      </c>
      <c r="B349" s="3" t="s">
        <v>661</v>
      </c>
      <c r="C349" s="6" t="s">
        <v>966</v>
      </c>
      <c r="D349" s="6" t="s">
        <v>967</v>
      </c>
      <c r="E349" s="6" t="s">
        <v>968</v>
      </c>
      <c r="F349" s="5" t="s">
        <v>1620</v>
      </c>
      <c r="G349" s="5"/>
    </row>
    <row r="350" spans="1:7" ht="99" thickBot="1">
      <c r="A350" s="3">
        <v>348</v>
      </c>
      <c r="B350" s="3" t="s">
        <v>661</v>
      </c>
      <c r="C350" s="6" t="s">
        <v>969</v>
      </c>
      <c r="D350" s="6" t="s">
        <v>970</v>
      </c>
      <c r="E350" s="6" t="s">
        <v>971</v>
      </c>
      <c r="F350" s="5" t="s">
        <v>1612</v>
      </c>
      <c r="G350" s="5"/>
    </row>
    <row r="351" spans="1:7" ht="99" thickBot="1">
      <c r="A351" s="3">
        <v>349</v>
      </c>
      <c r="B351" s="3" t="s">
        <v>661</v>
      </c>
      <c r="C351" s="6" t="s">
        <v>972</v>
      </c>
      <c r="D351" s="6" t="s">
        <v>973</v>
      </c>
      <c r="E351" s="6" t="s">
        <v>974</v>
      </c>
      <c r="F351" s="5" t="s">
        <v>1612</v>
      </c>
      <c r="G351" s="5"/>
    </row>
    <row r="352" spans="1:7" ht="112.8" thickBot="1">
      <c r="A352" s="3">
        <v>350</v>
      </c>
      <c r="B352" s="3" t="s">
        <v>661</v>
      </c>
      <c r="C352" s="6" t="s">
        <v>975</v>
      </c>
      <c r="D352" s="6" t="s">
        <v>976</v>
      </c>
      <c r="E352" s="6" t="s">
        <v>977</v>
      </c>
      <c r="F352" s="5" t="s">
        <v>1619</v>
      </c>
      <c r="G352" s="5"/>
    </row>
    <row r="353" spans="1:7" ht="99" thickBot="1">
      <c r="A353" s="3">
        <v>351</v>
      </c>
      <c r="B353" s="3" t="s">
        <v>661</v>
      </c>
      <c r="C353" s="6" t="s">
        <v>978</v>
      </c>
      <c r="D353" s="6" t="s">
        <v>979</v>
      </c>
      <c r="E353" s="6" t="s">
        <v>980</v>
      </c>
      <c r="F353" s="5" t="s">
        <v>1619</v>
      </c>
      <c r="G353" s="5"/>
    </row>
    <row r="354" spans="1:7" ht="112.8" thickBot="1">
      <c r="A354" s="3">
        <v>352</v>
      </c>
      <c r="B354" s="3" t="s">
        <v>661</v>
      </c>
      <c r="C354" s="6" t="s">
        <v>981</v>
      </c>
      <c r="D354" s="6" t="s">
        <v>982</v>
      </c>
      <c r="E354" s="6" t="s">
        <v>983</v>
      </c>
      <c r="F354" s="5" t="s">
        <v>1612</v>
      </c>
      <c r="G354" s="5"/>
    </row>
    <row r="355" spans="1:7" ht="99" thickBot="1">
      <c r="A355" s="3">
        <v>353</v>
      </c>
      <c r="B355" s="3" t="s">
        <v>661</v>
      </c>
      <c r="C355" s="6" t="s">
        <v>984</v>
      </c>
      <c r="D355" s="6" t="s">
        <v>985</v>
      </c>
      <c r="E355" s="6" t="s">
        <v>986</v>
      </c>
      <c r="F355" s="5" t="s">
        <v>1620</v>
      </c>
      <c r="G355" s="5"/>
    </row>
    <row r="356" spans="1:7" ht="112.8" thickBot="1">
      <c r="A356" s="3">
        <v>354</v>
      </c>
      <c r="B356" s="3" t="s">
        <v>661</v>
      </c>
      <c r="C356" s="6" t="s">
        <v>987</v>
      </c>
      <c r="D356" s="6" t="s">
        <v>988</v>
      </c>
      <c r="E356" s="6" t="s">
        <v>989</v>
      </c>
      <c r="F356" s="5" t="s">
        <v>1622</v>
      </c>
      <c r="G356" s="5"/>
    </row>
    <row r="357" spans="1:7" ht="99" thickBot="1">
      <c r="A357" s="3">
        <v>355</v>
      </c>
      <c r="B357" s="3" t="s">
        <v>661</v>
      </c>
      <c r="C357" s="6" t="s">
        <v>990</v>
      </c>
      <c r="D357" s="6" t="s">
        <v>991</v>
      </c>
      <c r="E357" s="6" t="s">
        <v>992</v>
      </c>
      <c r="F357" s="5" t="s">
        <v>1620</v>
      </c>
      <c r="G357" s="5"/>
    </row>
    <row r="358" spans="1:7" ht="112.8" thickBot="1">
      <c r="A358" s="3">
        <v>356</v>
      </c>
      <c r="B358" s="3" t="s">
        <v>661</v>
      </c>
      <c r="C358" s="6" t="s">
        <v>993</v>
      </c>
      <c r="D358" s="6" t="s">
        <v>994</v>
      </c>
      <c r="E358" s="6" t="s">
        <v>995</v>
      </c>
      <c r="F358" s="5" t="s">
        <v>1612</v>
      </c>
      <c r="G358" s="5"/>
    </row>
    <row r="359" spans="1:7" ht="99" thickBot="1">
      <c r="A359" s="3">
        <v>357</v>
      </c>
      <c r="B359" s="3" t="s">
        <v>661</v>
      </c>
      <c r="C359" s="6" t="s">
        <v>996</v>
      </c>
      <c r="D359" s="6" t="s">
        <v>997</v>
      </c>
      <c r="E359" s="6" t="s">
        <v>998</v>
      </c>
      <c r="F359" s="5" t="s">
        <v>1619</v>
      </c>
      <c r="G359" s="5"/>
    </row>
    <row r="360" spans="1:7" ht="99" thickBot="1">
      <c r="A360" s="3">
        <v>358</v>
      </c>
      <c r="B360" s="3" t="s">
        <v>661</v>
      </c>
      <c r="C360" s="6" t="s">
        <v>999</v>
      </c>
      <c r="D360" s="6" t="s">
        <v>676</v>
      </c>
      <c r="E360" s="6" t="s">
        <v>1000</v>
      </c>
      <c r="F360" s="43" t="s">
        <v>1617</v>
      </c>
      <c r="G360" s="5"/>
    </row>
    <row r="361" spans="1:7" ht="99" thickBot="1">
      <c r="A361" s="3">
        <v>359</v>
      </c>
      <c r="B361" s="3" t="s">
        <v>661</v>
      </c>
      <c r="C361" s="6" t="s">
        <v>1001</v>
      </c>
      <c r="D361" s="6" t="s">
        <v>1002</v>
      </c>
      <c r="E361" s="6" t="s">
        <v>1003</v>
      </c>
      <c r="F361" s="5" t="s">
        <v>1620</v>
      </c>
      <c r="G361" s="5"/>
    </row>
    <row r="362" spans="1:7" ht="112.8" thickBot="1">
      <c r="A362" s="3">
        <v>360</v>
      </c>
      <c r="B362" s="3" t="s">
        <v>661</v>
      </c>
      <c r="C362" s="6" t="s">
        <v>1004</v>
      </c>
      <c r="D362" s="6" t="s">
        <v>1005</v>
      </c>
      <c r="E362" s="6" t="s">
        <v>1006</v>
      </c>
      <c r="F362" s="5" t="s">
        <v>1612</v>
      </c>
      <c r="G362" s="5"/>
    </row>
    <row r="363" spans="1:7" ht="99" thickBot="1">
      <c r="A363" s="3">
        <v>361</v>
      </c>
      <c r="B363" s="3" t="s">
        <v>661</v>
      </c>
      <c r="C363" s="6" t="s">
        <v>1007</v>
      </c>
      <c r="D363" s="6" t="s">
        <v>988</v>
      </c>
      <c r="E363" s="6" t="s">
        <v>1008</v>
      </c>
      <c r="F363" s="5" t="s">
        <v>1622</v>
      </c>
      <c r="G363" s="5"/>
    </row>
    <row r="364" spans="1:7" ht="112.8" thickBot="1">
      <c r="A364" s="3">
        <v>362</v>
      </c>
      <c r="B364" s="3" t="s">
        <v>661</v>
      </c>
      <c r="C364" s="6" t="s">
        <v>1009</v>
      </c>
      <c r="D364" s="6" t="s">
        <v>1010</v>
      </c>
      <c r="E364" s="6" t="s">
        <v>1011</v>
      </c>
      <c r="F364" s="5" t="s">
        <v>1612</v>
      </c>
      <c r="G364" s="5"/>
    </row>
    <row r="365" spans="1:7" ht="126.6" thickBot="1">
      <c r="A365" s="3">
        <v>363</v>
      </c>
      <c r="B365" s="3" t="s">
        <v>661</v>
      </c>
      <c r="C365" s="6" t="s">
        <v>1012</v>
      </c>
      <c r="D365" s="6" t="s">
        <v>1013</v>
      </c>
      <c r="E365" s="6" t="s">
        <v>1014</v>
      </c>
      <c r="F365" s="5" t="s">
        <v>1612</v>
      </c>
      <c r="G365" s="5"/>
    </row>
    <row r="366" spans="1:7" ht="99" thickBot="1">
      <c r="A366" s="3">
        <v>364</v>
      </c>
      <c r="B366" s="3" t="s">
        <v>661</v>
      </c>
      <c r="C366" s="6" t="s">
        <v>1015</v>
      </c>
      <c r="D366" s="6" t="s">
        <v>1016</v>
      </c>
      <c r="E366" s="6" t="s">
        <v>1017</v>
      </c>
      <c r="F366" s="5" t="s">
        <v>1612</v>
      </c>
      <c r="G366" s="5"/>
    </row>
    <row r="367" spans="1:7" ht="126.6" thickBot="1">
      <c r="A367" s="3">
        <v>365</v>
      </c>
      <c r="B367" s="3" t="s">
        <v>661</v>
      </c>
      <c r="C367" s="6" t="s">
        <v>1018</v>
      </c>
      <c r="D367" s="6" t="s">
        <v>1019</v>
      </c>
      <c r="E367" s="6" t="s">
        <v>1020</v>
      </c>
      <c r="F367" s="43" t="s">
        <v>1614</v>
      </c>
      <c r="G367" s="5"/>
    </row>
    <row r="368" spans="1:7" ht="126.6" thickBot="1">
      <c r="A368" s="3">
        <v>366</v>
      </c>
      <c r="B368" s="3" t="s">
        <v>661</v>
      </c>
      <c r="C368" s="6" t="s">
        <v>1021</v>
      </c>
      <c r="D368" s="6" t="s">
        <v>1022</v>
      </c>
      <c r="E368" s="6" t="s">
        <v>1023</v>
      </c>
      <c r="F368" s="43" t="s">
        <v>1618</v>
      </c>
      <c r="G368" s="5"/>
    </row>
    <row r="369" spans="1:7" ht="112.8" thickBot="1">
      <c r="A369" s="3">
        <v>367</v>
      </c>
      <c r="B369" s="3" t="s">
        <v>661</v>
      </c>
      <c r="C369" s="6" t="s">
        <v>1024</v>
      </c>
      <c r="D369" s="6" t="s">
        <v>1025</v>
      </c>
      <c r="E369" s="6" t="s">
        <v>1026</v>
      </c>
      <c r="F369" s="5" t="s">
        <v>1612</v>
      </c>
      <c r="G369" s="5"/>
    </row>
    <row r="370" spans="1:7" ht="99" thickBot="1">
      <c r="A370" s="3">
        <v>368</v>
      </c>
      <c r="B370" s="3" t="s">
        <v>661</v>
      </c>
      <c r="C370" s="6" t="s">
        <v>1027</v>
      </c>
      <c r="D370" s="6" t="s">
        <v>1028</v>
      </c>
      <c r="E370" s="6" t="s">
        <v>1029</v>
      </c>
      <c r="F370" s="5" t="s">
        <v>1620</v>
      </c>
      <c r="G370" s="5"/>
    </row>
    <row r="371" spans="1:7" ht="112.8" thickBot="1">
      <c r="A371" s="3">
        <v>369</v>
      </c>
      <c r="B371" s="3" t="s">
        <v>661</v>
      </c>
      <c r="C371" s="6" t="s">
        <v>1030</v>
      </c>
      <c r="D371" s="6" t="s">
        <v>976</v>
      </c>
      <c r="E371" s="6" t="s">
        <v>1031</v>
      </c>
      <c r="F371" s="43" t="s">
        <v>1617</v>
      </c>
      <c r="G371" s="5"/>
    </row>
    <row r="372" spans="1:7" ht="112.8" thickBot="1">
      <c r="A372" s="3">
        <v>370</v>
      </c>
      <c r="B372" s="3" t="s">
        <v>661</v>
      </c>
      <c r="C372" s="6" t="s">
        <v>1032</v>
      </c>
      <c r="D372" s="6" t="s">
        <v>1033</v>
      </c>
      <c r="E372" s="6" t="s">
        <v>1034</v>
      </c>
      <c r="F372" s="5" t="s">
        <v>1612</v>
      </c>
      <c r="G372" s="5"/>
    </row>
    <row r="373" spans="1:7" ht="99" thickBot="1">
      <c r="A373" s="3">
        <v>371</v>
      </c>
      <c r="B373" s="3" t="s">
        <v>661</v>
      </c>
      <c r="C373" s="6" t="s">
        <v>1035</v>
      </c>
      <c r="D373" s="6" t="s">
        <v>1036</v>
      </c>
      <c r="E373" s="6" t="s">
        <v>1037</v>
      </c>
      <c r="F373" s="5" t="s">
        <v>1620</v>
      </c>
      <c r="G373" s="5"/>
    </row>
    <row r="374" spans="1:7" ht="112.8" thickBot="1">
      <c r="A374" s="3">
        <v>372</v>
      </c>
      <c r="B374" s="3" t="s">
        <v>661</v>
      </c>
      <c r="C374" s="6" t="s">
        <v>1038</v>
      </c>
      <c r="D374" s="6" t="s">
        <v>922</v>
      </c>
      <c r="E374" s="6" t="s">
        <v>1039</v>
      </c>
      <c r="F374" s="5" t="s">
        <v>1619</v>
      </c>
      <c r="G374" s="5"/>
    </row>
    <row r="375" spans="1:7" ht="99" thickBot="1">
      <c r="A375" s="3">
        <v>373</v>
      </c>
      <c r="B375" s="3" t="s">
        <v>661</v>
      </c>
      <c r="C375" s="6" t="s">
        <v>1040</v>
      </c>
      <c r="D375" s="6" t="s">
        <v>1041</v>
      </c>
      <c r="E375" s="6" t="s">
        <v>1042</v>
      </c>
      <c r="F375" s="5" t="s">
        <v>1612</v>
      </c>
      <c r="G375" s="5"/>
    </row>
    <row r="376" spans="1:7" ht="140.4" thickBot="1">
      <c r="A376" s="3">
        <v>374</v>
      </c>
      <c r="B376" s="3" t="s">
        <v>661</v>
      </c>
      <c r="C376" s="6" t="s">
        <v>1043</v>
      </c>
      <c r="D376" s="6" t="s">
        <v>1044</v>
      </c>
      <c r="E376" s="6" t="s">
        <v>1045</v>
      </c>
      <c r="F376" s="5" t="s">
        <v>1612</v>
      </c>
      <c r="G376" s="5"/>
    </row>
    <row r="377" spans="1:7" ht="112.8" thickBot="1">
      <c r="A377" s="3">
        <v>375</v>
      </c>
      <c r="B377" s="3" t="s">
        <v>661</v>
      </c>
      <c r="C377" s="6" t="s">
        <v>1046</v>
      </c>
      <c r="D377" s="6" t="s">
        <v>1047</v>
      </c>
      <c r="E377" s="6" t="s">
        <v>1048</v>
      </c>
      <c r="F377" s="5" t="s">
        <v>1619</v>
      </c>
      <c r="G377" s="5"/>
    </row>
    <row r="378" spans="1:7" ht="99" thickBot="1">
      <c r="A378" s="3">
        <v>376</v>
      </c>
      <c r="B378" s="3" t="s">
        <v>661</v>
      </c>
      <c r="C378" s="6" t="s">
        <v>1049</v>
      </c>
      <c r="D378" s="6" t="s">
        <v>1050</v>
      </c>
      <c r="E378" s="6" t="s">
        <v>1051</v>
      </c>
      <c r="F378" s="5" t="s">
        <v>1612</v>
      </c>
      <c r="G378" s="5"/>
    </row>
    <row r="379" spans="1:7" ht="112.8" thickBot="1">
      <c r="A379" s="3">
        <v>377</v>
      </c>
      <c r="B379" s="3" t="s">
        <v>661</v>
      </c>
      <c r="C379" s="6" t="s">
        <v>1052</v>
      </c>
      <c r="D379" s="6" t="s">
        <v>1053</v>
      </c>
      <c r="E379" s="6" t="s">
        <v>866</v>
      </c>
      <c r="F379" s="5" t="s">
        <v>1612</v>
      </c>
      <c r="G379" s="5"/>
    </row>
    <row r="380" spans="1:7" ht="126.6" thickBot="1">
      <c r="A380" s="3">
        <v>378</v>
      </c>
      <c r="B380" s="3" t="s">
        <v>661</v>
      </c>
      <c r="C380" s="6" t="s">
        <v>1054</v>
      </c>
      <c r="D380" s="6" t="s">
        <v>1055</v>
      </c>
      <c r="E380" s="6" t="s">
        <v>1056</v>
      </c>
      <c r="F380" s="43" t="s">
        <v>1617</v>
      </c>
      <c r="G380" s="5"/>
    </row>
    <row r="381" spans="1:7" ht="112.8" thickBot="1">
      <c r="A381" s="3">
        <v>379</v>
      </c>
      <c r="B381" s="3" t="s">
        <v>661</v>
      </c>
      <c r="C381" s="6" t="s">
        <v>1057</v>
      </c>
      <c r="D381" s="6" t="s">
        <v>1058</v>
      </c>
      <c r="E381" s="6" t="s">
        <v>1059</v>
      </c>
      <c r="F381" s="5" t="s">
        <v>1619</v>
      </c>
      <c r="G381" s="5"/>
    </row>
    <row r="382" spans="1:7" ht="99" thickBot="1">
      <c r="A382" s="3">
        <v>380</v>
      </c>
      <c r="B382" s="3" t="s">
        <v>661</v>
      </c>
      <c r="C382" s="6" t="s">
        <v>1060</v>
      </c>
      <c r="D382" s="6" t="s">
        <v>934</v>
      </c>
      <c r="E382" s="6" t="s">
        <v>1061</v>
      </c>
      <c r="F382" s="5" t="s">
        <v>1612</v>
      </c>
      <c r="G382" s="5"/>
    </row>
    <row r="383" spans="1:7" ht="112.8" thickBot="1">
      <c r="A383" s="3">
        <v>381</v>
      </c>
      <c r="B383" s="3" t="s">
        <v>661</v>
      </c>
      <c r="C383" s="6" t="s">
        <v>1062</v>
      </c>
      <c r="D383" s="6" t="s">
        <v>973</v>
      </c>
      <c r="E383" s="6" t="s">
        <v>1063</v>
      </c>
      <c r="F383" s="5" t="s">
        <v>1619</v>
      </c>
      <c r="G383" s="5"/>
    </row>
    <row r="384" spans="1:7" ht="99" thickBot="1">
      <c r="A384" s="3">
        <v>382</v>
      </c>
      <c r="B384" s="3" t="s">
        <v>1064</v>
      </c>
      <c r="C384" s="6" t="s">
        <v>1065</v>
      </c>
      <c r="D384" s="6" t="s">
        <v>1066</v>
      </c>
      <c r="E384" s="7" t="s">
        <v>1067</v>
      </c>
      <c r="F384" s="5"/>
      <c r="G384" s="5"/>
    </row>
    <row r="385" spans="1:7" ht="99" thickBot="1">
      <c r="A385" s="3">
        <v>383</v>
      </c>
      <c r="B385" s="3" t="s">
        <v>1064</v>
      </c>
      <c r="C385" s="6" t="s">
        <v>1068</v>
      </c>
      <c r="D385" s="6" t="s">
        <v>1069</v>
      </c>
      <c r="E385" s="7" t="s">
        <v>1070</v>
      </c>
      <c r="F385" s="5"/>
      <c r="G385" s="5"/>
    </row>
    <row r="386" spans="1:7" ht="112.8" thickBot="1">
      <c r="A386" s="3">
        <v>384</v>
      </c>
      <c r="B386" s="3" t="s">
        <v>1064</v>
      </c>
      <c r="C386" s="6" t="s">
        <v>1071</v>
      </c>
      <c r="D386" s="6" t="s">
        <v>1072</v>
      </c>
      <c r="E386" s="7" t="s">
        <v>1073</v>
      </c>
      <c r="F386" s="5"/>
      <c r="G386" s="5"/>
    </row>
    <row r="387" spans="1:7" ht="112.8" thickBot="1">
      <c r="A387" s="3">
        <v>385</v>
      </c>
      <c r="B387" s="3" t="s">
        <v>1064</v>
      </c>
      <c r="C387" s="6" t="s">
        <v>1074</v>
      </c>
      <c r="D387" s="6" t="s">
        <v>1075</v>
      </c>
      <c r="E387" s="7" t="s">
        <v>1076</v>
      </c>
      <c r="F387" s="5"/>
      <c r="G387" s="5"/>
    </row>
    <row r="388" spans="1:7" ht="99" thickBot="1">
      <c r="A388" s="3">
        <v>386</v>
      </c>
      <c r="B388" s="3" t="s">
        <v>1064</v>
      </c>
      <c r="C388" s="6" t="s">
        <v>1077</v>
      </c>
      <c r="D388" s="6" t="s">
        <v>734</v>
      </c>
      <c r="E388" s="7" t="s">
        <v>1078</v>
      </c>
      <c r="F388" s="5"/>
      <c r="G388" s="5"/>
    </row>
    <row r="389" spans="1:7" ht="99" thickBot="1">
      <c r="A389" s="3">
        <v>387</v>
      </c>
      <c r="B389" s="3" t="s">
        <v>1064</v>
      </c>
      <c r="C389" s="6" t="s">
        <v>1079</v>
      </c>
      <c r="D389" s="6" t="s">
        <v>1080</v>
      </c>
      <c r="E389" s="7" t="s">
        <v>1081</v>
      </c>
      <c r="F389" s="5"/>
      <c r="G389" s="5"/>
    </row>
    <row r="390" spans="1:7" ht="99" thickBot="1">
      <c r="A390" s="3">
        <v>388</v>
      </c>
      <c r="B390" s="3" t="s">
        <v>1064</v>
      </c>
      <c r="C390" s="6" t="s">
        <v>1082</v>
      </c>
      <c r="D390" s="6" t="s">
        <v>676</v>
      </c>
      <c r="E390" s="7" t="s">
        <v>1083</v>
      </c>
      <c r="F390" s="5"/>
      <c r="G390" s="5"/>
    </row>
    <row r="391" spans="1:7" ht="112.8" thickBot="1">
      <c r="A391" s="3">
        <v>389</v>
      </c>
      <c r="B391" s="3" t="s">
        <v>1064</v>
      </c>
      <c r="C391" s="6" t="s">
        <v>1084</v>
      </c>
      <c r="D391" s="6" t="s">
        <v>1085</v>
      </c>
      <c r="E391" s="7" t="s">
        <v>1086</v>
      </c>
      <c r="F391" s="5"/>
      <c r="G391" s="5"/>
    </row>
    <row r="392" spans="1:7" ht="112.8" thickBot="1">
      <c r="A392" s="3">
        <v>390</v>
      </c>
      <c r="B392" s="3" t="s">
        <v>1064</v>
      </c>
      <c r="C392" s="6" t="s">
        <v>1087</v>
      </c>
      <c r="D392" s="6" t="s">
        <v>727</v>
      </c>
      <c r="E392" s="7" t="s">
        <v>1088</v>
      </c>
      <c r="F392" s="5"/>
      <c r="G392" s="5"/>
    </row>
    <row r="393" spans="1:7" ht="99" thickBot="1">
      <c r="A393" s="3">
        <v>391</v>
      </c>
      <c r="B393" s="3" t="s">
        <v>1064</v>
      </c>
      <c r="C393" s="6" t="s">
        <v>1089</v>
      </c>
      <c r="D393" s="6" t="s">
        <v>1090</v>
      </c>
      <c r="E393" s="7" t="s">
        <v>1091</v>
      </c>
      <c r="F393" s="5"/>
      <c r="G393" s="5"/>
    </row>
    <row r="394" spans="1:7" ht="99" thickBot="1">
      <c r="A394" s="3">
        <v>392</v>
      </c>
      <c r="B394" s="3" t="s">
        <v>1064</v>
      </c>
      <c r="C394" s="6" t="s">
        <v>1092</v>
      </c>
      <c r="D394" s="6" t="s">
        <v>973</v>
      </c>
      <c r="E394" s="7" t="s">
        <v>1093</v>
      </c>
      <c r="F394" s="5"/>
      <c r="G394" s="5"/>
    </row>
    <row r="395" spans="1:7" ht="112.8" thickBot="1">
      <c r="A395" s="3">
        <v>393</v>
      </c>
      <c r="B395" s="3" t="s">
        <v>1064</v>
      </c>
      <c r="C395" s="6" t="s">
        <v>1094</v>
      </c>
      <c r="D395" s="6" t="s">
        <v>1095</v>
      </c>
      <c r="E395" s="7" t="s">
        <v>1096</v>
      </c>
      <c r="F395" s="5"/>
      <c r="G395" s="5"/>
    </row>
    <row r="396" spans="1:7" ht="99" thickBot="1">
      <c r="A396" s="3">
        <v>394</v>
      </c>
      <c r="B396" s="3" t="s">
        <v>1064</v>
      </c>
      <c r="C396" s="6" t="s">
        <v>1097</v>
      </c>
      <c r="D396" s="6" t="s">
        <v>1098</v>
      </c>
      <c r="E396" s="7" t="s">
        <v>1099</v>
      </c>
      <c r="F396" s="5"/>
      <c r="G396" s="5"/>
    </row>
    <row r="397" spans="1:7" ht="99" thickBot="1">
      <c r="A397" s="3">
        <v>395</v>
      </c>
      <c r="B397" s="3" t="s">
        <v>1064</v>
      </c>
      <c r="C397" s="6" t="s">
        <v>1100</v>
      </c>
      <c r="D397" s="6" t="s">
        <v>1101</v>
      </c>
      <c r="E397" s="7" t="s">
        <v>1102</v>
      </c>
      <c r="F397" s="5"/>
      <c r="G397" s="5"/>
    </row>
    <row r="398" spans="1:7" ht="112.8" thickBot="1">
      <c r="A398" s="3">
        <v>396</v>
      </c>
      <c r="B398" s="3" t="s">
        <v>1064</v>
      </c>
      <c r="C398" s="6" t="s">
        <v>1103</v>
      </c>
      <c r="D398" s="6" t="s">
        <v>1104</v>
      </c>
      <c r="E398" s="7" t="s">
        <v>1105</v>
      </c>
      <c r="F398" s="5"/>
      <c r="G398" s="5"/>
    </row>
    <row r="399" spans="1:7" ht="112.8" thickBot="1">
      <c r="A399" s="3">
        <v>397</v>
      </c>
      <c r="B399" s="3" t="s">
        <v>1064</v>
      </c>
      <c r="C399" s="6" t="s">
        <v>1106</v>
      </c>
      <c r="D399" s="6" t="s">
        <v>783</v>
      </c>
      <c r="E399" s="7" t="s">
        <v>1107</v>
      </c>
      <c r="F399" s="5"/>
      <c r="G399" s="5"/>
    </row>
    <row r="400" spans="1:7" ht="112.8" thickBot="1">
      <c r="A400" s="3">
        <v>398</v>
      </c>
      <c r="B400" s="3" t="s">
        <v>1064</v>
      </c>
      <c r="C400" s="6" t="s">
        <v>1108</v>
      </c>
      <c r="D400" s="6" t="s">
        <v>1109</v>
      </c>
      <c r="E400" s="7" t="s">
        <v>1110</v>
      </c>
      <c r="F400" s="5"/>
      <c r="G400" s="5"/>
    </row>
    <row r="401" spans="1:7" ht="99" thickBot="1">
      <c r="A401" s="3">
        <v>399</v>
      </c>
      <c r="B401" s="3" t="s">
        <v>1064</v>
      </c>
      <c r="C401" s="6" t="s">
        <v>1111</v>
      </c>
      <c r="D401" s="6" t="s">
        <v>1112</v>
      </c>
      <c r="E401" s="7" t="s">
        <v>1113</v>
      </c>
      <c r="F401" s="5"/>
      <c r="G401" s="5"/>
    </row>
    <row r="402" spans="1:7" ht="112.8" thickBot="1">
      <c r="A402" s="3">
        <v>400</v>
      </c>
      <c r="B402" s="3" t="s">
        <v>1064</v>
      </c>
      <c r="C402" s="6" t="s">
        <v>1114</v>
      </c>
      <c r="D402" s="6" t="s">
        <v>1115</v>
      </c>
      <c r="E402" s="7" t="s">
        <v>1116</v>
      </c>
      <c r="F402" s="5"/>
      <c r="G402" s="5"/>
    </row>
    <row r="403" spans="1:7" ht="99" thickBot="1">
      <c r="A403" s="3">
        <v>401</v>
      </c>
      <c r="B403" s="3" t="s">
        <v>1064</v>
      </c>
      <c r="C403" s="6" t="s">
        <v>1117</v>
      </c>
      <c r="D403" s="6" t="s">
        <v>967</v>
      </c>
      <c r="E403" s="7" t="s">
        <v>1118</v>
      </c>
      <c r="F403" s="5"/>
      <c r="G403" s="5"/>
    </row>
    <row r="404" spans="1:7" ht="112.8" thickBot="1">
      <c r="A404" s="3">
        <v>402</v>
      </c>
      <c r="B404" s="3" t="s">
        <v>1064</v>
      </c>
      <c r="C404" s="6" t="s">
        <v>1119</v>
      </c>
      <c r="D404" s="6" t="s">
        <v>1120</v>
      </c>
      <c r="E404" s="7" t="s">
        <v>1121</v>
      </c>
      <c r="F404" s="5"/>
      <c r="G404" s="5"/>
    </row>
    <row r="405" spans="1:7" ht="112.8" thickBot="1">
      <c r="A405" s="3">
        <v>403</v>
      </c>
      <c r="B405" s="3" t="s">
        <v>1064</v>
      </c>
      <c r="C405" s="6" t="s">
        <v>1122</v>
      </c>
      <c r="D405" s="6" t="s">
        <v>1123</v>
      </c>
      <c r="E405" s="7" t="s">
        <v>1124</v>
      </c>
      <c r="F405" s="5"/>
      <c r="G405" s="5"/>
    </row>
    <row r="406" spans="1:7" ht="99" thickBot="1">
      <c r="A406" s="3">
        <v>404</v>
      </c>
      <c r="B406" s="3" t="s">
        <v>1064</v>
      </c>
      <c r="C406" s="6" t="s">
        <v>1125</v>
      </c>
      <c r="D406" s="6" t="s">
        <v>1126</v>
      </c>
      <c r="E406" s="7" t="s">
        <v>1127</v>
      </c>
      <c r="F406" s="5"/>
      <c r="G406" s="5"/>
    </row>
    <row r="407" spans="1:7" ht="112.8" thickBot="1">
      <c r="A407" s="3">
        <v>405</v>
      </c>
      <c r="B407" s="3" t="s">
        <v>1064</v>
      </c>
      <c r="C407" s="6" t="s">
        <v>1128</v>
      </c>
      <c r="D407" s="6" t="s">
        <v>840</v>
      </c>
      <c r="E407" s="7" t="s">
        <v>1129</v>
      </c>
      <c r="F407" s="5"/>
      <c r="G407" s="5"/>
    </row>
    <row r="408" spans="1:7" ht="99" thickBot="1">
      <c r="A408" s="3">
        <v>406</v>
      </c>
      <c r="B408" s="3" t="s">
        <v>1064</v>
      </c>
      <c r="C408" s="6" t="s">
        <v>1130</v>
      </c>
      <c r="D408" s="6" t="s">
        <v>1131</v>
      </c>
      <c r="E408" s="7" t="s">
        <v>1132</v>
      </c>
      <c r="F408" s="5"/>
      <c r="G408" s="5"/>
    </row>
    <row r="409" spans="1:7" ht="99" thickBot="1">
      <c r="A409" s="3">
        <v>407</v>
      </c>
      <c r="B409" s="3" t="s">
        <v>1064</v>
      </c>
      <c r="C409" s="6" t="s">
        <v>1133</v>
      </c>
      <c r="D409" s="6" t="s">
        <v>1134</v>
      </c>
      <c r="E409" s="7" t="s">
        <v>1135</v>
      </c>
      <c r="F409" s="5"/>
      <c r="G409" s="5"/>
    </row>
    <row r="410" spans="1:7" ht="99" thickBot="1">
      <c r="A410" s="3">
        <v>408</v>
      </c>
      <c r="B410" s="3" t="s">
        <v>1064</v>
      </c>
      <c r="C410" s="6" t="s">
        <v>1136</v>
      </c>
      <c r="D410" s="6" t="s">
        <v>1137</v>
      </c>
      <c r="E410" s="7" t="s">
        <v>1138</v>
      </c>
      <c r="F410" s="5"/>
      <c r="G410" s="5"/>
    </row>
    <row r="411" spans="1:7" ht="112.8" thickBot="1">
      <c r="A411" s="3">
        <v>409</v>
      </c>
      <c r="B411" s="3" t="s">
        <v>1064</v>
      </c>
      <c r="C411" s="6" t="s">
        <v>1139</v>
      </c>
      <c r="D411" s="6" t="s">
        <v>1104</v>
      </c>
      <c r="E411" s="7" t="s">
        <v>1140</v>
      </c>
      <c r="F411" s="5"/>
      <c r="G411" s="5"/>
    </row>
    <row r="412" spans="1:7" ht="99" thickBot="1">
      <c r="A412" s="3">
        <v>410</v>
      </c>
      <c r="B412" s="3" t="s">
        <v>1064</v>
      </c>
      <c r="C412" s="6" t="s">
        <v>1141</v>
      </c>
      <c r="D412" s="6" t="s">
        <v>1142</v>
      </c>
      <c r="E412" s="7" t="s">
        <v>1143</v>
      </c>
      <c r="F412" s="5"/>
      <c r="G412" s="5"/>
    </row>
    <row r="413" spans="1:7" ht="99" thickBot="1">
      <c r="A413" s="3">
        <v>411</v>
      </c>
      <c r="B413" s="3" t="s">
        <v>1064</v>
      </c>
      <c r="C413" s="6" t="s">
        <v>1144</v>
      </c>
      <c r="D413" s="6" t="s">
        <v>1145</v>
      </c>
      <c r="E413" s="7" t="s">
        <v>1146</v>
      </c>
      <c r="F413" s="5"/>
      <c r="G413" s="5"/>
    </row>
    <row r="414" spans="1:7" ht="99" thickBot="1">
      <c r="A414" s="3">
        <v>412</v>
      </c>
      <c r="B414" s="3" t="s">
        <v>1064</v>
      </c>
      <c r="C414" s="6" t="s">
        <v>1147</v>
      </c>
      <c r="D414" s="6" t="s">
        <v>1148</v>
      </c>
      <c r="E414" s="7" t="s">
        <v>1149</v>
      </c>
      <c r="F414" s="5"/>
      <c r="G414" s="5"/>
    </row>
    <row r="415" spans="1:7" ht="99" thickBot="1">
      <c r="A415" s="3">
        <v>413</v>
      </c>
      <c r="B415" s="3" t="s">
        <v>1064</v>
      </c>
      <c r="C415" s="6" t="s">
        <v>1150</v>
      </c>
      <c r="D415" s="6" t="s">
        <v>1151</v>
      </c>
      <c r="E415" s="7" t="s">
        <v>1152</v>
      </c>
      <c r="F415" s="5"/>
      <c r="G415" s="5"/>
    </row>
    <row r="416" spans="1:7" ht="112.8" thickBot="1">
      <c r="A416" s="3">
        <v>414</v>
      </c>
      <c r="B416" s="3" t="s">
        <v>1064</v>
      </c>
      <c r="C416" s="6" t="s">
        <v>1153</v>
      </c>
      <c r="D416" s="6" t="s">
        <v>1154</v>
      </c>
      <c r="E416" s="7" t="s">
        <v>1155</v>
      </c>
      <c r="F416" s="5"/>
      <c r="G416" s="5"/>
    </row>
    <row r="417" spans="1:7" ht="99" thickBot="1">
      <c r="A417" s="3">
        <v>415</v>
      </c>
      <c r="B417" s="3" t="s">
        <v>1064</v>
      </c>
      <c r="C417" s="6" t="s">
        <v>1156</v>
      </c>
      <c r="D417" s="6" t="s">
        <v>676</v>
      </c>
      <c r="E417" s="7" t="s">
        <v>1157</v>
      </c>
      <c r="F417" s="5"/>
      <c r="G417" s="5"/>
    </row>
    <row r="418" spans="1:7" ht="112.8" thickBot="1">
      <c r="A418" s="3">
        <v>416</v>
      </c>
      <c r="B418" s="3" t="s">
        <v>1064</v>
      </c>
      <c r="C418" s="6" t="s">
        <v>1158</v>
      </c>
      <c r="D418" s="6" t="s">
        <v>976</v>
      </c>
      <c r="E418" s="7" t="s">
        <v>1159</v>
      </c>
      <c r="F418" s="5"/>
      <c r="G418" s="5"/>
    </row>
    <row r="419" spans="1:7" ht="112.8" thickBot="1">
      <c r="A419" s="3">
        <v>417</v>
      </c>
      <c r="B419" s="3" t="s">
        <v>1064</v>
      </c>
      <c r="C419" s="6" t="s">
        <v>1160</v>
      </c>
      <c r="D419" s="6" t="s">
        <v>1161</v>
      </c>
      <c r="E419" s="7" t="s">
        <v>1162</v>
      </c>
      <c r="F419" s="5"/>
      <c r="G419" s="5"/>
    </row>
    <row r="420" spans="1:7" ht="99" thickBot="1">
      <c r="A420" s="3">
        <v>418</v>
      </c>
      <c r="B420" s="3" t="s">
        <v>1064</v>
      </c>
      <c r="C420" s="6" t="s">
        <v>1163</v>
      </c>
      <c r="D420" s="6" t="s">
        <v>1164</v>
      </c>
      <c r="E420" s="7" t="s">
        <v>1165</v>
      </c>
      <c r="F420" s="5"/>
      <c r="G420" s="5"/>
    </row>
    <row r="421" spans="1:7" ht="112.8" thickBot="1">
      <c r="A421" s="3">
        <v>419</v>
      </c>
      <c r="B421" s="3" t="s">
        <v>1064</v>
      </c>
      <c r="C421" s="6" t="s">
        <v>1166</v>
      </c>
      <c r="D421" s="6" t="s">
        <v>928</v>
      </c>
      <c r="E421" s="7" t="s">
        <v>1167</v>
      </c>
      <c r="F421" s="5"/>
      <c r="G421" s="5"/>
    </row>
    <row r="422" spans="1:7" ht="112.8" thickBot="1">
      <c r="A422" s="3">
        <v>420</v>
      </c>
      <c r="B422" s="3" t="s">
        <v>1064</v>
      </c>
      <c r="C422" s="6" t="s">
        <v>1168</v>
      </c>
      <c r="D422" s="6" t="s">
        <v>1169</v>
      </c>
      <c r="E422" s="7" t="s">
        <v>1170</v>
      </c>
      <c r="F422" s="5"/>
      <c r="G422" s="5"/>
    </row>
    <row r="423" spans="1:7" ht="112.8" thickBot="1">
      <c r="A423" s="3">
        <v>421</v>
      </c>
      <c r="B423" s="3" t="s">
        <v>1064</v>
      </c>
      <c r="C423" s="6" t="s">
        <v>1171</v>
      </c>
      <c r="D423" s="6" t="s">
        <v>976</v>
      </c>
      <c r="E423" s="7" t="s">
        <v>1172</v>
      </c>
      <c r="F423" s="5"/>
      <c r="G423" s="5"/>
    </row>
    <row r="424" spans="1:7" ht="99" thickBot="1">
      <c r="A424" s="3">
        <v>422</v>
      </c>
      <c r="B424" s="3" t="s">
        <v>1064</v>
      </c>
      <c r="C424" s="6" t="s">
        <v>1173</v>
      </c>
      <c r="D424" s="6" t="s">
        <v>1174</v>
      </c>
      <c r="E424" s="7" t="s">
        <v>1175</v>
      </c>
      <c r="F424" s="5"/>
      <c r="G424" s="5"/>
    </row>
    <row r="425" spans="1:7" ht="99" thickBot="1">
      <c r="A425" s="3">
        <v>423</v>
      </c>
      <c r="B425" s="3" t="s">
        <v>1064</v>
      </c>
      <c r="C425" s="6" t="s">
        <v>1176</v>
      </c>
      <c r="D425" s="6" t="s">
        <v>667</v>
      </c>
      <c r="E425" s="7" t="s">
        <v>1177</v>
      </c>
      <c r="F425" s="5"/>
      <c r="G425" s="5"/>
    </row>
    <row r="426" spans="1:7" ht="99" thickBot="1">
      <c r="A426" s="3">
        <v>424</v>
      </c>
      <c r="B426" s="3" t="s">
        <v>1064</v>
      </c>
      <c r="C426" s="6" t="s">
        <v>1178</v>
      </c>
      <c r="D426" s="6" t="s">
        <v>1179</v>
      </c>
      <c r="E426" s="7" t="s">
        <v>1180</v>
      </c>
      <c r="F426" s="5"/>
      <c r="G426" s="5"/>
    </row>
    <row r="427" spans="1:7" ht="99" thickBot="1">
      <c r="A427" s="3">
        <v>425</v>
      </c>
      <c r="B427" s="3" t="s">
        <v>1064</v>
      </c>
      <c r="C427" s="6" t="s">
        <v>1181</v>
      </c>
      <c r="D427" s="6" t="s">
        <v>1182</v>
      </c>
      <c r="E427" s="7" t="s">
        <v>1183</v>
      </c>
      <c r="F427" s="5"/>
      <c r="G427" s="5"/>
    </row>
    <row r="428" spans="1:7" ht="99" thickBot="1">
      <c r="A428" s="3">
        <v>426</v>
      </c>
      <c r="B428" s="3" t="s">
        <v>1064</v>
      </c>
      <c r="C428" s="6" t="s">
        <v>1184</v>
      </c>
      <c r="D428" s="6" t="s">
        <v>1185</v>
      </c>
      <c r="E428" s="7" t="s">
        <v>1186</v>
      </c>
      <c r="F428" s="5"/>
      <c r="G428" s="5"/>
    </row>
    <row r="429" spans="1:7" ht="112.8" thickBot="1">
      <c r="A429" s="3">
        <v>427</v>
      </c>
      <c r="B429" s="3" t="s">
        <v>1064</v>
      </c>
      <c r="C429" s="6" t="s">
        <v>1187</v>
      </c>
      <c r="D429" s="6" t="s">
        <v>1058</v>
      </c>
      <c r="E429" s="7" t="s">
        <v>1188</v>
      </c>
      <c r="F429" s="5"/>
      <c r="G429" s="5"/>
    </row>
    <row r="430" spans="1:7" ht="126.6" thickBot="1">
      <c r="A430" s="3">
        <v>428</v>
      </c>
      <c r="B430" s="3" t="s">
        <v>1064</v>
      </c>
      <c r="C430" s="6" t="s">
        <v>1189</v>
      </c>
      <c r="D430" s="6" t="s">
        <v>1190</v>
      </c>
      <c r="E430" s="7" t="s">
        <v>1191</v>
      </c>
      <c r="F430" s="5"/>
      <c r="G430" s="5"/>
    </row>
    <row r="431" spans="1:7" ht="112.8" thickBot="1">
      <c r="A431" s="3">
        <v>429</v>
      </c>
      <c r="B431" s="3" t="s">
        <v>1064</v>
      </c>
      <c r="C431" s="6" t="s">
        <v>1192</v>
      </c>
      <c r="D431" s="6" t="s">
        <v>1193</v>
      </c>
      <c r="E431" s="7" t="s">
        <v>1194</v>
      </c>
      <c r="F431" s="5"/>
      <c r="G431" s="5"/>
    </row>
    <row r="432" spans="1:7" ht="126.6" thickBot="1">
      <c r="A432" s="3">
        <v>430</v>
      </c>
      <c r="B432" s="3" t="s">
        <v>1064</v>
      </c>
      <c r="C432" s="6" t="s">
        <v>1195</v>
      </c>
      <c r="D432" s="6" t="s">
        <v>1022</v>
      </c>
      <c r="E432" s="7" t="s">
        <v>1196</v>
      </c>
      <c r="F432" s="5"/>
      <c r="G432" s="5"/>
    </row>
    <row r="433" spans="1:7" ht="99" thickBot="1">
      <c r="A433" s="3">
        <v>431</v>
      </c>
      <c r="B433" s="3" t="s">
        <v>1064</v>
      </c>
      <c r="C433" s="6" t="s">
        <v>1197</v>
      </c>
      <c r="D433" s="6" t="s">
        <v>1198</v>
      </c>
      <c r="E433" s="7" t="s">
        <v>1199</v>
      </c>
      <c r="F433" s="5"/>
      <c r="G433" s="5"/>
    </row>
    <row r="434" spans="1:7" ht="99" thickBot="1">
      <c r="A434" s="3">
        <v>432</v>
      </c>
      <c r="B434" s="3" t="s">
        <v>1064</v>
      </c>
      <c r="C434" s="6" t="s">
        <v>1200</v>
      </c>
      <c r="D434" s="6" t="s">
        <v>1198</v>
      </c>
      <c r="E434" s="7" t="s">
        <v>1201</v>
      </c>
      <c r="F434" s="5"/>
      <c r="G434" s="5"/>
    </row>
    <row r="435" spans="1:7" ht="99" thickBot="1">
      <c r="A435" s="3">
        <v>433</v>
      </c>
      <c r="B435" s="3" t="s">
        <v>1064</v>
      </c>
      <c r="C435" s="6" t="s">
        <v>1202</v>
      </c>
      <c r="D435" s="6" t="s">
        <v>676</v>
      </c>
      <c r="E435" s="7" t="s">
        <v>1203</v>
      </c>
      <c r="F435" s="5"/>
      <c r="G435" s="5"/>
    </row>
    <row r="436" spans="1:7" ht="112.8" thickBot="1">
      <c r="A436" s="3">
        <v>434</v>
      </c>
      <c r="B436" s="3" t="s">
        <v>1064</v>
      </c>
      <c r="C436" s="6" t="s">
        <v>1204</v>
      </c>
      <c r="D436" s="6" t="s">
        <v>1205</v>
      </c>
      <c r="E436" s="7" t="s">
        <v>1206</v>
      </c>
      <c r="F436" s="5"/>
      <c r="G436" s="5"/>
    </row>
    <row r="437" spans="1:7" ht="99" thickBot="1">
      <c r="A437" s="3">
        <v>435</v>
      </c>
      <c r="B437" s="3" t="s">
        <v>1064</v>
      </c>
      <c r="C437" s="6" t="s">
        <v>1207</v>
      </c>
      <c r="D437" s="6" t="s">
        <v>1208</v>
      </c>
      <c r="E437" s="7" t="s">
        <v>1209</v>
      </c>
      <c r="F437" s="5"/>
      <c r="G437" s="5"/>
    </row>
    <row r="438" spans="1:7" ht="99" thickBot="1">
      <c r="A438" s="3">
        <v>436</v>
      </c>
      <c r="B438" s="3" t="s">
        <v>1064</v>
      </c>
      <c r="C438" s="6" t="s">
        <v>1210</v>
      </c>
      <c r="D438" s="6" t="s">
        <v>1211</v>
      </c>
      <c r="E438" s="7" t="s">
        <v>1212</v>
      </c>
      <c r="F438" s="5"/>
      <c r="G438" s="5"/>
    </row>
    <row r="439" spans="1:7" ht="112.8" thickBot="1">
      <c r="A439" s="3">
        <v>437</v>
      </c>
      <c r="B439" s="3" t="s">
        <v>1064</v>
      </c>
      <c r="C439" s="6" t="s">
        <v>1213</v>
      </c>
      <c r="D439" s="6" t="s">
        <v>812</v>
      </c>
      <c r="E439" s="7" t="s">
        <v>1214</v>
      </c>
      <c r="F439" s="5"/>
      <c r="G439" s="5"/>
    </row>
    <row r="440" spans="1:7" ht="99" thickBot="1">
      <c r="A440" s="3">
        <v>438</v>
      </c>
      <c r="B440" s="3" t="s">
        <v>1064</v>
      </c>
      <c r="C440" s="6" t="s">
        <v>1215</v>
      </c>
      <c r="D440" s="6" t="s">
        <v>1216</v>
      </c>
      <c r="E440" s="7" t="s">
        <v>1217</v>
      </c>
      <c r="F440" s="5"/>
      <c r="G440" s="5"/>
    </row>
    <row r="441" spans="1:7" ht="126.6" thickBot="1">
      <c r="A441" s="3">
        <v>439</v>
      </c>
      <c r="B441" s="3" t="s">
        <v>1064</v>
      </c>
      <c r="C441" s="6" t="s">
        <v>1218</v>
      </c>
      <c r="D441" s="6" t="s">
        <v>1219</v>
      </c>
      <c r="E441" s="7" t="s">
        <v>1220</v>
      </c>
      <c r="F441" s="5"/>
      <c r="G441" s="5"/>
    </row>
    <row r="442" spans="1:7" ht="112.8" thickBot="1">
      <c r="A442" s="3">
        <v>440</v>
      </c>
      <c r="B442" s="3" t="s">
        <v>1064</v>
      </c>
      <c r="C442" s="6" t="s">
        <v>1221</v>
      </c>
      <c r="D442" s="6" t="s">
        <v>1222</v>
      </c>
      <c r="E442" s="7" t="s">
        <v>1223</v>
      </c>
      <c r="F442" s="5"/>
      <c r="G442" s="5"/>
    </row>
    <row r="443" spans="1:7" ht="140.4" thickBot="1">
      <c r="A443" s="3">
        <v>441</v>
      </c>
      <c r="B443" s="3" t="s">
        <v>1064</v>
      </c>
      <c r="C443" s="6" t="s">
        <v>1224</v>
      </c>
      <c r="D443" s="6" t="s">
        <v>1225</v>
      </c>
      <c r="E443" s="7" t="s">
        <v>1226</v>
      </c>
      <c r="F443" s="5"/>
      <c r="G443" s="5"/>
    </row>
    <row r="444" spans="1:7" ht="112.8" thickBot="1">
      <c r="A444" s="3">
        <v>442</v>
      </c>
      <c r="B444" s="3" t="s">
        <v>1064</v>
      </c>
      <c r="C444" s="6" t="s">
        <v>1227</v>
      </c>
      <c r="D444" s="6" t="s">
        <v>1228</v>
      </c>
      <c r="E444" s="7" t="s">
        <v>1229</v>
      </c>
      <c r="F444" s="5"/>
      <c r="G444" s="5"/>
    </row>
    <row r="445" spans="1:7" ht="112.8" thickBot="1">
      <c r="A445" s="3">
        <v>443</v>
      </c>
      <c r="B445" s="3" t="s">
        <v>1064</v>
      </c>
      <c r="C445" s="6" t="s">
        <v>1230</v>
      </c>
      <c r="D445" s="6" t="s">
        <v>1231</v>
      </c>
      <c r="E445" s="7" t="s">
        <v>1232</v>
      </c>
      <c r="F445" s="5"/>
      <c r="G445" s="5"/>
    </row>
    <row r="446" spans="1:7" ht="99" thickBot="1">
      <c r="A446" s="3">
        <v>444</v>
      </c>
      <c r="B446" s="3" t="s">
        <v>1064</v>
      </c>
      <c r="C446" s="6" t="s">
        <v>1233</v>
      </c>
      <c r="D446" s="6" t="s">
        <v>734</v>
      </c>
      <c r="E446" s="7" t="s">
        <v>1234</v>
      </c>
      <c r="F446" s="5"/>
      <c r="G446" s="5"/>
    </row>
    <row r="447" spans="1:7" ht="99" thickBot="1">
      <c r="A447" s="3">
        <v>445</v>
      </c>
      <c r="B447" s="3" t="s">
        <v>1064</v>
      </c>
      <c r="C447" s="6" t="s">
        <v>1235</v>
      </c>
      <c r="D447" s="6" t="s">
        <v>1236</v>
      </c>
      <c r="E447" s="7" t="s">
        <v>1237</v>
      </c>
      <c r="F447" s="5"/>
      <c r="G447" s="5"/>
    </row>
    <row r="448" spans="1:7" ht="126.6" thickBot="1">
      <c r="A448" s="3">
        <v>446</v>
      </c>
      <c r="B448" s="3" t="s">
        <v>1064</v>
      </c>
      <c r="C448" s="6" t="s">
        <v>1238</v>
      </c>
      <c r="D448" s="6" t="s">
        <v>1239</v>
      </c>
      <c r="E448" s="7" t="s">
        <v>1240</v>
      </c>
      <c r="F448" s="5"/>
      <c r="G448" s="5"/>
    </row>
    <row r="449" spans="1:7" ht="99" thickBot="1">
      <c r="A449" s="3">
        <v>447</v>
      </c>
      <c r="B449" s="3" t="s">
        <v>1064</v>
      </c>
      <c r="C449" s="6" t="s">
        <v>1241</v>
      </c>
      <c r="D449" s="6" t="s">
        <v>973</v>
      </c>
      <c r="E449" s="7" t="s">
        <v>1242</v>
      </c>
      <c r="F449" s="5"/>
      <c r="G449" s="5"/>
    </row>
    <row r="450" spans="1:7" ht="112.8" thickBot="1">
      <c r="A450" s="3">
        <v>448</v>
      </c>
      <c r="B450" s="3" t="s">
        <v>1064</v>
      </c>
      <c r="C450" s="6" t="s">
        <v>1243</v>
      </c>
      <c r="D450" s="6" t="s">
        <v>1244</v>
      </c>
      <c r="E450" s="7" t="s">
        <v>1245</v>
      </c>
      <c r="F450" s="5"/>
      <c r="G450" s="5"/>
    </row>
    <row r="451" spans="1:7" ht="99" thickBot="1">
      <c r="A451" s="3">
        <v>449</v>
      </c>
      <c r="B451" s="3" t="s">
        <v>1064</v>
      </c>
      <c r="C451" s="6" t="s">
        <v>1246</v>
      </c>
      <c r="D451" s="6" t="s">
        <v>1247</v>
      </c>
      <c r="E451" s="7" t="s">
        <v>1248</v>
      </c>
      <c r="F451" s="5"/>
      <c r="G451" s="5"/>
    </row>
    <row r="452" spans="1:7" ht="112.8" thickBot="1">
      <c r="A452" s="3">
        <v>450</v>
      </c>
      <c r="B452" s="3" t="s">
        <v>1064</v>
      </c>
      <c r="C452" s="6" t="s">
        <v>1249</v>
      </c>
      <c r="D452" s="6" t="s">
        <v>1250</v>
      </c>
      <c r="E452" s="7" t="s">
        <v>1251</v>
      </c>
      <c r="F452" s="5"/>
      <c r="G452" s="5"/>
    </row>
    <row r="453" spans="1:7" ht="99" thickBot="1">
      <c r="A453" s="3">
        <v>451</v>
      </c>
      <c r="B453" s="3" t="s">
        <v>1064</v>
      </c>
      <c r="C453" s="6" t="s">
        <v>1252</v>
      </c>
      <c r="D453" s="6" t="s">
        <v>1253</v>
      </c>
      <c r="E453" s="7" t="s">
        <v>1254</v>
      </c>
      <c r="F453" s="5"/>
      <c r="G453" s="5"/>
    </row>
    <row r="454" spans="1:7" ht="112.8" thickBot="1">
      <c r="A454" s="3">
        <v>452</v>
      </c>
      <c r="B454" s="3" t="s">
        <v>1064</v>
      </c>
      <c r="C454" s="6" t="s">
        <v>1255</v>
      </c>
      <c r="D454" s="6" t="s">
        <v>1256</v>
      </c>
      <c r="E454" s="7" t="s">
        <v>1257</v>
      </c>
      <c r="F454" s="5"/>
      <c r="G454" s="5"/>
    </row>
    <row r="455" spans="1:7" ht="99" thickBot="1">
      <c r="A455" s="3">
        <v>453</v>
      </c>
      <c r="B455" s="3" t="s">
        <v>1064</v>
      </c>
      <c r="C455" s="6" t="s">
        <v>1258</v>
      </c>
      <c r="D455" s="6" t="s">
        <v>1259</v>
      </c>
      <c r="E455" s="7" t="s">
        <v>1260</v>
      </c>
      <c r="F455" s="5"/>
      <c r="G455" s="5"/>
    </row>
    <row r="456" spans="1:7" ht="112.8" thickBot="1">
      <c r="A456" s="3">
        <v>454</v>
      </c>
      <c r="B456" s="3" t="s">
        <v>1064</v>
      </c>
      <c r="C456" s="6" t="s">
        <v>1261</v>
      </c>
      <c r="D456" s="6" t="s">
        <v>1262</v>
      </c>
      <c r="E456" s="7" t="s">
        <v>1263</v>
      </c>
      <c r="F456" s="5"/>
      <c r="G456" s="5"/>
    </row>
    <row r="457" spans="1:7" ht="112.8" thickBot="1">
      <c r="A457" s="3">
        <v>455</v>
      </c>
      <c r="B457" s="3" t="s">
        <v>1064</v>
      </c>
      <c r="C457" s="6" t="s">
        <v>1264</v>
      </c>
      <c r="D457" s="6" t="s">
        <v>697</v>
      </c>
      <c r="E457" s="7" t="s">
        <v>1265</v>
      </c>
      <c r="F457" s="5"/>
      <c r="G457" s="5"/>
    </row>
    <row r="458" spans="1:7" ht="99" thickBot="1">
      <c r="A458" s="3">
        <v>456</v>
      </c>
      <c r="B458" s="3" t="s">
        <v>1064</v>
      </c>
      <c r="C458" s="6" t="s">
        <v>1266</v>
      </c>
      <c r="D458" s="6" t="s">
        <v>1267</v>
      </c>
      <c r="E458" s="7" t="s">
        <v>1123</v>
      </c>
      <c r="F458" s="5"/>
      <c r="G458" s="5"/>
    </row>
    <row r="459" spans="1:7" ht="99" thickBot="1">
      <c r="A459" s="3">
        <v>457</v>
      </c>
      <c r="B459" s="3" t="s">
        <v>1064</v>
      </c>
      <c r="C459" s="6" t="s">
        <v>1268</v>
      </c>
      <c r="D459" s="6" t="s">
        <v>676</v>
      </c>
      <c r="E459" s="7" t="s">
        <v>1269</v>
      </c>
      <c r="F459" s="5"/>
      <c r="G459" s="5"/>
    </row>
    <row r="460" spans="1:7" ht="112.8" thickBot="1">
      <c r="A460" s="3">
        <v>458</v>
      </c>
      <c r="B460" s="3" t="s">
        <v>1064</v>
      </c>
      <c r="C460" s="6" t="s">
        <v>1270</v>
      </c>
      <c r="D460" s="6" t="s">
        <v>1271</v>
      </c>
      <c r="E460" s="7" t="s">
        <v>1272</v>
      </c>
      <c r="F460" s="5"/>
      <c r="G460" s="5"/>
    </row>
    <row r="461" spans="1:7" ht="99" thickBot="1">
      <c r="A461" s="3">
        <v>459</v>
      </c>
      <c r="B461" s="3" t="s">
        <v>1064</v>
      </c>
      <c r="C461" s="6" t="s">
        <v>1273</v>
      </c>
      <c r="D461" s="6" t="s">
        <v>1274</v>
      </c>
      <c r="E461" s="7" t="s">
        <v>1275</v>
      </c>
      <c r="F461" s="5"/>
      <c r="G461" s="5"/>
    </row>
    <row r="462" spans="1:7" ht="126.6" thickBot="1">
      <c r="A462" s="3">
        <v>460</v>
      </c>
      <c r="B462" s="3" t="s">
        <v>1064</v>
      </c>
      <c r="C462" s="6" t="s">
        <v>1276</v>
      </c>
      <c r="D462" s="6" t="s">
        <v>1277</v>
      </c>
      <c r="E462" s="7" t="s">
        <v>1278</v>
      </c>
      <c r="F462" s="5"/>
      <c r="G462" s="5"/>
    </row>
    <row r="463" spans="1:7" ht="99" thickBot="1">
      <c r="A463" s="3">
        <v>461</v>
      </c>
      <c r="B463" s="3" t="s">
        <v>1064</v>
      </c>
      <c r="C463" s="6" t="s">
        <v>1279</v>
      </c>
      <c r="D463" s="6" t="s">
        <v>1280</v>
      </c>
      <c r="E463" s="7" t="s">
        <v>1281</v>
      </c>
      <c r="F463" s="5"/>
      <c r="G463" s="5"/>
    </row>
    <row r="464" spans="1:7" ht="112.8" thickBot="1">
      <c r="A464" s="3">
        <v>462</v>
      </c>
      <c r="B464" s="3" t="s">
        <v>1064</v>
      </c>
      <c r="C464" s="6" t="s">
        <v>1282</v>
      </c>
      <c r="D464" s="6" t="s">
        <v>727</v>
      </c>
      <c r="E464" s="7" t="s">
        <v>1283</v>
      </c>
      <c r="F464" s="5"/>
      <c r="G464" s="5"/>
    </row>
    <row r="465" spans="1:7" ht="112.8" thickBot="1">
      <c r="A465" s="3">
        <v>463</v>
      </c>
      <c r="B465" s="3" t="s">
        <v>1064</v>
      </c>
      <c r="C465" s="6" t="s">
        <v>1284</v>
      </c>
      <c r="D465" s="6" t="s">
        <v>1285</v>
      </c>
      <c r="E465" s="7" t="s">
        <v>1286</v>
      </c>
      <c r="F465" s="5"/>
      <c r="G465" s="5"/>
    </row>
    <row r="466" spans="1:7" ht="99" thickBot="1">
      <c r="A466" s="3">
        <v>464</v>
      </c>
      <c r="B466" s="3" t="s">
        <v>1064</v>
      </c>
      <c r="C466" s="6" t="s">
        <v>1287</v>
      </c>
      <c r="D466" s="6" t="s">
        <v>1288</v>
      </c>
      <c r="E466" s="7" t="s">
        <v>1289</v>
      </c>
      <c r="F466" s="5"/>
      <c r="G466" s="5"/>
    </row>
    <row r="467" spans="1:7" ht="112.8" thickBot="1">
      <c r="A467" s="3">
        <v>465</v>
      </c>
      <c r="B467" s="3" t="s">
        <v>1064</v>
      </c>
      <c r="C467" s="6" t="s">
        <v>1290</v>
      </c>
      <c r="D467" s="6" t="s">
        <v>1291</v>
      </c>
      <c r="E467" s="7" t="s">
        <v>1292</v>
      </c>
      <c r="F467" s="5"/>
      <c r="G467" s="5"/>
    </row>
    <row r="468" spans="1:7" ht="140.4" thickBot="1">
      <c r="A468" s="3">
        <v>466</v>
      </c>
      <c r="B468" s="3" t="s">
        <v>1064</v>
      </c>
      <c r="C468" s="6" t="s">
        <v>1293</v>
      </c>
      <c r="D468" s="6" t="s">
        <v>1294</v>
      </c>
      <c r="E468" s="7" t="s">
        <v>1295</v>
      </c>
      <c r="F468" s="5"/>
      <c r="G468" s="5"/>
    </row>
    <row r="469" spans="1:7" ht="140.4" thickBot="1">
      <c r="A469" s="3">
        <v>467</v>
      </c>
      <c r="B469" s="3" t="s">
        <v>1064</v>
      </c>
      <c r="C469" s="6" t="s">
        <v>1296</v>
      </c>
      <c r="D469" s="6" t="s">
        <v>1297</v>
      </c>
      <c r="E469" s="7" t="s">
        <v>1295</v>
      </c>
      <c r="F469" s="5"/>
      <c r="G469" s="5"/>
    </row>
    <row r="470" spans="1:7" ht="99" thickBot="1">
      <c r="A470" s="3">
        <v>468</v>
      </c>
      <c r="B470" s="3" t="s">
        <v>1064</v>
      </c>
      <c r="C470" s="6" t="s">
        <v>1298</v>
      </c>
      <c r="D470" s="6" t="s">
        <v>1299</v>
      </c>
      <c r="E470" s="7" t="s">
        <v>1300</v>
      </c>
      <c r="F470" s="5"/>
      <c r="G470" s="5"/>
    </row>
    <row r="471" spans="1:7" ht="99" thickBot="1">
      <c r="A471" s="3">
        <v>469</v>
      </c>
      <c r="B471" s="3" t="s">
        <v>1064</v>
      </c>
      <c r="C471" s="6" t="s">
        <v>1301</v>
      </c>
      <c r="D471" s="6" t="s">
        <v>1302</v>
      </c>
      <c r="E471" s="7" t="s">
        <v>1303</v>
      </c>
      <c r="F471" s="5"/>
      <c r="G471" s="5"/>
    </row>
    <row r="472" spans="1:7" ht="99" thickBot="1">
      <c r="A472" s="3">
        <v>470</v>
      </c>
      <c r="B472" s="3" t="s">
        <v>1064</v>
      </c>
      <c r="C472" s="6" t="s">
        <v>1304</v>
      </c>
      <c r="D472" s="6" t="s">
        <v>1305</v>
      </c>
      <c r="E472" s="7" t="s">
        <v>1306</v>
      </c>
      <c r="F472" s="5"/>
      <c r="G472" s="5"/>
    </row>
    <row r="473" spans="1:7" ht="99" thickBot="1">
      <c r="A473" s="3">
        <v>471</v>
      </c>
      <c r="B473" s="3" t="s">
        <v>1064</v>
      </c>
      <c r="C473" s="6" t="s">
        <v>1307</v>
      </c>
      <c r="D473" s="6" t="s">
        <v>1308</v>
      </c>
      <c r="E473" s="7" t="s">
        <v>1309</v>
      </c>
      <c r="F473" s="5"/>
      <c r="G473" s="5"/>
    </row>
    <row r="474" spans="1:7" ht="99" thickBot="1">
      <c r="A474" s="3">
        <v>472</v>
      </c>
      <c r="B474" s="3" t="s">
        <v>1064</v>
      </c>
      <c r="C474" s="6" t="s">
        <v>1310</v>
      </c>
      <c r="D474" s="6" t="s">
        <v>1311</v>
      </c>
      <c r="E474" s="7" t="s">
        <v>1312</v>
      </c>
      <c r="F474" s="5"/>
      <c r="G474" s="5"/>
    </row>
    <row r="475" spans="1:7" ht="154.19999999999999" thickBot="1">
      <c r="A475" s="3">
        <v>473</v>
      </c>
      <c r="B475" s="3" t="s">
        <v>1064</v>
      </c>
      <c r="C475" s="6" t="s">
        <v>1313</v>
      </c>
      <c r="D475" s="6" t="s">
        <v>1314</v>
      </c>
      <c r="E475" s="7" t="s">
        <v>1315</v>
      </c>
      <c r="F475" s="5"/>
      <c r="G475" s="5"/>
    </row>
    <row r="476" spans="1:7" ht="99" thickBot="1">
      <c r="A476" s="3">
        <v>474</v>
      </c>
      <c r="B476" s="3" t="s">
        <v>1064</v>
      </c>
      <c r="C476" s="6" t="s">
        <v>1316</v>
      </c>
      <c r="D476" s="6" t="s">
        <v>1317</v>
      </c>
      <c r="E476" s="7" t="s">
        <v>1318</v>
      </c>
      <c r="F476" s="5"/>
      <c r="G476" s="5"/>
    </row>
    <row r="477" spans="1:7" ht="99" thickBot="1">
      <c r="A477" s="3">
        <v>475</v>
      </c>
      <c r="B477" s="3" t="s">
        <v>1064</v>
      </c>
      <c r="C477" s="6" t="s">
        <v>1319</v>
      </c>
      <c r="D477" s="6" t="s">
        <v>1320</v>
      </c>
      <c r="E477" s="7" t="s">
        <v>1321</v>
      </c>
      <c r="F477" s="5"/>
      <c r="G477" s="5"/>
    </row>
    <row r="478" spans="1:7" ht="126.6" thickBot="1">
      <c r="A478" s="3">
        <v>476</v>
      </c>
      <c r="B478" s="3" t="s">
        <v>1064</v>
      </c>
      <c r="C478" s="6" t="s">
        <v>1322</v>
      </c>
      <c r="D478" s="6" t="s">
        <v>1323</v>
      </c>
      <c r="E478" s="7" t="s">
        <v>1324</v>
      </c>
      <c r="F478" s="5"/>
      <c r="G478" s="5"/>
    </row>
    <row r="479" spans="1:7" ht="99" thickBot="1">
      <c r="A479" s="3">
        <v>477</v>
      </c>
      <c r="B479" s="3" t="s">
        <v>1064</v>
      </c>
      <c r="C479" s="6" t="s">
        <v>1325</v>
      </c>
      <c r="D479" s="6" t="s">
        <v>667</v>
      </c>
      <c r="E479" s="7" t="s">
        <v>1326</v>
      </c>
      <c r="F479" s="5"/>
      <c r="G479" s="5"/>
    </row>
    <row r="480" spans="1:7" ht="126.6" thickBot="1">
      <c r="A480" s="3">
        <v>478</v>
      </c>
      <c r="B480" s="3" t="s">
        <v>1064</v>
      </c>
      <c r="C480" s="6" t="s">
        <v>1327</v>
      </c>
      <c r="D480" s="6" t="s">
        <v>1328</v>
      </c>
      <c r="E480" s="7" t="s">
        <v>1329</v>
      </c>
      <c r="F480" s="5"/>
      <c r="G480" s="5"/>
    </row>
    <row r="481" spans="1:7" ht="112.8" thickBot="1">
      <c r="A481" s="3">
        <v>479</v>
      </c>
      <c r="B481" s="3" t="s">
        <v>1064</v>
      </c>
      <c r="C481" s="6" t="s">
        <v>1330</v>
      </c>
      <c r="D481" s="6" t="s">
        <v>1331</v>
      </c>
      <c r="E481" s="7" t="s">
        <v>1332</v>
      </c>
      <c r="F481" s="5"/>
      <c r="G481" s="5"/>
    </row>
    <row r="482" spans="1:7" ht="112.8" thickBot="1">
      <c r="A482" s="3">
        <v>480</v>
      </c>
      <c r="B482" s="3" t="s">
        <v>1064</v>
      </c>
      <c r="C482" s="6" t="s">
        <v>1333</v>
      </c>
      <c r="D482" s="6" t="s">
        <v>1334</v>
      </c>
      <c r="E482" s="7" t="s">
        <v>1335</v>
      </c>
      <c r="F482" s="5"/>
      <c r="G482" s="5"/>
    </row>
    <row r="483" spans="1:7" ht="112.8" thickBot="1">
      <c r="A483" s="3">
        <v>481</v>
      </c>
      <c r="B483" s="3" t="s">
        <v>1064</v>
      </c>
      <c r="C483" s="6" t="s">
        <v>1336</v>
      </c>
      <c r="D483" s="6" t="s">
        <v>1337</v>
      </c>
      <c r="E483" s="7" t="s">
        <v>1338</v>
      </c>
      <c r="F483" s="5"/>
      <c r="G483" s="5"/>
    </row>
    <row r="484" spans="1:7" ht="99" thickBot="1">
      <c r="A484" s="3">
        <v>482</v>
      </c>
      <c r="B484" s="3" t="s">
        <v>1064</v>
      </c>
      <c r="C484" s="6" t="s">
        <v>1339</v>
      </c>
      <c r="D484" s="6" t="s">
        <v>1340</v>
      </c>
      <c r="E484" s="7" t="s">
        <v>1341</v>
      </c>
      <c r="F484" s="5"/>
      <c r="G484" s="5"/>
    </row>
    <row r="485" spans="1:7" ht="99" thickBot="1">
      <c r="A485" s="3">
        <v>483</v>
      </c>
      <c r="B485" s="3" t="s">
        <v>1064</v>
      </c>
      <c r="C485" s="6" t="s">
        <v>1342</v>
      </c>
      <c r="D485" s="6" t="s">
        <v>1343</v>
      </c>
      <c r="E485" s="7" t="s">
        <v>1344</v>
      </c>
      <c r="F485" s="5"/>
      <c r="G485" s="5"/>
    </row>
    <row r="486" spans="1:7" ht="99" thickBot="1">
      <c r="A486" s="3">
        <v>484</v>
      </c>
      <c r="B486" s="3" t="s">
        <v>1064</v>
      </c>
      <c r="C486" s="6" t="s">
        <v>1345</v>
      </c>
      <c r="D486" s="6" t="s">
        <v>1346</v>
      </c>
      <c r="E486" s="7" t="s">
        <v>1347</v>
      </c>
      <c r="F486" s="5"/>
      <c r="G486" s="5"/>
    </row>
    <row r="487" spans="1:7" ht="112.8" thickBot="1">
      <c r="A487" s="3">
        <v>485</v>
      </c>
      <c r="B487" s="3" t="s">
        <v>1064</v>
      </c>
      <c r="C487" s="6" t="s">
        <v>1348</v>
      </c>
      <c r="D487" s="6" t="s">
        <v>1349</v>
      </c>
      <c r="E487" s="7" t="s">
        <v>1350</v>
      </c>
      <c r="F487" s="5"/>
      <c r="G487" s="5"/>
    </row>
    <row r="488" spans="1:7" ht="112.8" thickBot="1">
      <c r="A488" s="3">
        <v>486</v>
      </c>
      <c r="B488" s="3" t="s">
        <v>1064</v>
      </c>
      <c r="C488" s="6" t="s">
        <v>1351</v>
      </c>
      <c r="D488" s="6" t="s">
        <v>1352</v>
      </c>
      <c r="E488" s="7" t="s">
        <v>1353</v>
      </c>
      <c r="F488" s="5"/>
      <c r="G488" s="5"/>
    </row>
    <row r="489" spans="1:7" ht="99" thickBot="1">
      <c r="A489" s="3">
        <v>487</v>
      </c>
      <c r="B489" s="3" t="s">
        <v>1064</v>
      </c>
      <c r="C489" s="6" t="s">
        <v>1354</v>
      </c>
      <c r="D489" s="6" t="s">
        <v>1355</v>
      </c>
      <c r="E489" s="7" t="s">
        <v>976</v>
      </c>
      <c r="F489" s="5"/>
      <c r="G489" s="5"/>
    </row>
    <row r="490" spans="1:7" ht="99" thickBot="1">
      <c r="A490" s="3">
        <v>488</v>
      </c>
      <c r="B490" s="3" t="s">
        <v>1064</v>
      </c>
      <c r="C490" s="6" t="s">
        <v>1356</v>
      </c>
      <c r="D490" s="6" t="s">
        <v>1357</v>
      </c>
      <c r="E490" s="7" t="s">
        <v>1358</v>
      </c>
      <c r="F490" s="5"/>
      <c r="G490" s="5"/>
    </row>
    <row r="491" spans="1:7" ht="140.4" thickBot="1">
      <c r="A491" s="3">
        <v>489</v>
      </c>
      <c r="B491" s="3" t="s">
        <v>1064</v>
      </c>
      <c r="C491" s="6" t="s">
        <v>1359</v>
      </c>
      <c r="D491" s="6" t="s">
        <v>1360</v>
      </c>
      <c r="E491" s="7" t="s">
        <v>1361</v>
      </c>
      <c r="F491" s="5"/>
      <c r="G491" s="5"/>
    </row>
    <row r="492" spans="1:7" ht="112.8" thickBot="1">
      <c r="A492" s="3">
        <v>490</v>
      </c>
      <c r="B492" s="3" t="s">
        <v>1064</v>
      </c>
      <c r="C492" s="6" t="s">
        <v>1362</v>
      </c>
      <c r="D492" s="6" t="s">
        <v>720</v>
      </c>
      <c r="E492" s="7" t="s">
        <v>1363</v>
      </c>
      <c r="F492" s="5"/>
      <c r="G492" s="5"/>
    </row>
    <row r="493" spans="1:7" ht="99" thickBot="1">
      <c r="A493" s="3">
        <v>491</v>
      </c>
      <c r="B493" s="3" t="s">
        <v>1064</v>
      </c>
      <c r="C493" s="6" t="s">
        <v>1364</v>
      </c>
      <c r="D493" s="6" t="s">
        <v>874</v>
      </c>
      <c r="E493" s="7" t="s">
        <v>1185</v>
      </c>
      <c r="F493" s="5"/>
      <c r="G493" s="5"/>
    </row>
    <row r="494" spans="1:7" ht="99" thickBot="1">
      <c r="A494" s="3">
        <v>492</v>
      </c>
      <c r="B494" s="3" t="s">
        <v>1064</v>
      </c>
      <c r="C494" s="6" t="s">
        <v>1365</v>
      </c>
      <c r="D494" s="6" t="s">
        <v>1366</v>
      </c>
      <c r="E494" s="7" t="s">
        <v>1367</v>
      </c>
      <c r="F494" s="5"/>
      <c r="G494" s="5"/>
    </row>
    <row r="495" spans="1:7" ht="112.8" thickBot="1">
      <c r="A495" s="3">
        <v>493</v>
      </c>
      <c r="B495" s="3" t="s">
        <v>1064</v>
      </c>
      <c r="C495" s="6" t="s">
        <v>1368</v>
      </c>
      <c r="D495" s="6" t="s">
        <v>1369</v>
      </c>
      <c r="E495" s="7" t="s">
        <v>1370</v>
      </c>
      <c r="F495" s="5"/>
      <c r="G495" s="5"/>
    </row>
    <row r="496" spans="1:7" ht="99" thickBot="1">
      <c r="A496" s="3">
        <v>494</v>
      </c>
      <c r="B496" s="3" t="s">
        <v>1064</v>
      </c>
      <c r="C496" s="6" t="s">
        <v>1371</v>
      </c>
      <c r="D496" s="6" t="s">
        <v>1372</v>
      </c>
      <c r="E496" s="7" t="s">
        <v>1373</v>
      </c>
      <c r="F496" s="5"/>
      <c r="G496" s="5"/>
    </row>
    <row r="497" spans="1:7" ht="99" thickBot="1">
      <c r="A497" s="3">
        <v>495</v>
      </c>
      <c r="B497" s="3" t="s">
        <v>1064</v>
      </c>
      <c r="C497" s="6" t="s">
        <v>1374</v>
      </c>
      <c r="D497" s="6" t="s">
        <v>1375</v>
      </c>
      <c r="E497" s="7" t="s">
        <v>1376</v>
      </c>
      <c r="F497" s="5"/>
      <c r="G497" s="5"/>
    </row>
    <row r="498" spans="1:7" ht="112.8" thickBot="1">
      <c r="A498" s="3">
        <v>496</v>
      </c>
      <c r="B498" s="3" t="s">
        <v>1064</v>
      </c>
      <c r="C498" s="6" t="s">
        <v>1377</v>
      </c>
      <c r="D498" s="6" t="s">
        <v>1378</v>
      </c>
      <c r="E498" s="7" t="s">
        <v>1379</v>
      </c>
      <c r="F498" s="5"/>
      <c r="G498" s="5"/>
    </row>
    <row r="499" spans="1:7" ht="112.8" thickBot="1">
      <c r="A499" s="3">
        <v>497</v>
      </c>
      <c r="B499" s="3" t="s">
        <v>1064</v>
      </c>
      <c r="C499" s="6" t="s">
        <v>1380</v>
      </c>
      <c r="D499" s="6" t="s">
        <v>1381</v>
      </c>
      <c r="E499" s="7" t="s">
        <v>1382</v>
      </c>
      <c r="F499" s="5"/>
      <c r="G499" s="5"/>
    </row>
    <row r="500" spans="1:7" ht="99" thickBot="1">
      <c r="A500" s="3">
        <v>498</v>
      </c>
      <c r="B500" s="3" t="s">
        <v>1064</v>
      </c>
      <c r="C500" s="6" t="s">
        <v>1383</v>
      </c>
      <c r="D500" s="6" t="s">
        <v>1384</v>
      </c>
      <c r="E500" s="7" t="s">
        <v>1385</v>
      </c>
      <c r="F500" s="5"/>
      <c r="G500" s="5"/>
    </row>
    <row r="501" spans="1:7" ht="99" thickBot="1">
      <c r="A501" s="3">
        <v>499</v>
      </c>
      <c r="B501" s="3" t="s">
        <v>1064</v>
      </c>
      <c r="C501" s="6" t="s">
        <v>1386</v>
      </c>
      <c r="D501" s="6" t="s">
        <v>1387</v>
      </c>
      <c r="E501" s="7" t="s">
        <v>1388</v>
      </c>
      <c r="F501" s="5"/>
      <c r="G501" s="5"/>
    </row>
    <row r="502" spans="1:7" ht="99" thickBot="1">
      <c r="A502" s="3">
        <v>500</v>
      </c>
      <c r="B502" s="3" t="s">
        <v>1064</v>
      </c>
      <c r="C502" s="6" t="s">
        <v>1389</v>
      </c>
      <c r="D502" s="6" t="s">
        <v>1390</v>
      </c>
      <c r="E502" s="7" t="s">
        <v>1391</v>
      </c>
      <c r="F502" s="5"/>
      <c r="G502" s="5"/>
    </row>
    <row r="503" spans="1:7" ht="112.8" thickBot="1">
      <c r="A503" s="3">
        <v>501</v>
      </c>
      <c r="B503" s="3" t="s">
        <v>1064</v>
      </c>
      <c r="C503" s="6" t="s">
        <v>1392</v>
      </c>
      <c r="D503" s="6" t="s">
        <v>1393</v>
      </c>
      <c r="E503" s="7" t="s">
        <v>1394</v>
      </c>
      <c r="F503" s="5"/>
      <c r="G503" s="5"/>
    </row>
    <row r="504" spans="1:7" ht="112.8" thickBot="1">
      <c r="A504" s="3">
        <v>502</v>
      </c>
      <c r="B504" s="3" t="s">
        <v>1064</v>
      </c>
      <c r="C504" s="6" t="s">
        <v>1395</v>
      </c>
      <c r="D504" s="6" t="s">
        <v>1396</v>
      </c>
      <c r="E504" s="7" t="s">
        <v>1397</v>
      </c>
      <c r="F504" s="5"/>
      <c r="G504" s="5"/>
    </row>
    <row r="505" spans="1:7" ht="99" thickBot="1">
      <c r="A505" s="3">
        <v>503</v>
      </c>
      <c r="B505" s="3" t="s">
        <v>1064</v>
      </c>
      <c r="C505" s="6" t="s">
        <v>1398</v>
      </c>
      <c r="D505" s="6" t="s">
        <v>1399</v>
      </c>
      <c r="E505" s="7" t="s">
        <v>1400</v>
      </c>
      <c r="F505" s="5"/>
      <c r="G505" s="5"/>
    </row>
    <row r="506" spans="1:7" ht="112.8" thickBot="1">
      <c r="A506" s="3">
        <v>504</v>
      </c>
      <c r="B506" s="3" t="s">
        <v>1064</v>
      </c>
      <c r="C506" s="6" t="s">
        <v>1401</v>
      </c>
      <c r="D506" s="6" t="s">
        <v>1402</v>
      </c>
      <c r="E506" s="7" t="s">
        <v>1403</v>
      </c>
      <c r="F506" s="5"/>
      <c r="G506" s="5"/>
    </row>
    <row r="507" spans="1:7" ht="99" thickBot="1">
      <c r="A507" s="3">
        <v>505</v>
      </c>
      <c r="B507" s="3" t="s">
        <v>1064</v>
      </c>
      <c r="C507" s="6" t="s">
        <v>1404</v>
      </c>
      <c r="D507" s="6" t="s">
        <v>1405</v>
      </c>
      <c r="E507" s="7" t="s">
        <v>1406</v>
      </c>
      <c r="F507" s="5"/>
      <c r="G507" s="5"/>
    </row>
    <row r="508" spans="1:7" ht="99" thickBot="1">
      <c r="A508" s="3">
        <v>506</v>
      </c>
      <c r="B508" s="3" t="s">
        <v>1064</v>
      </c>
      <c r="C508" s="6" t="s">
        <v>1407</v>
      </c>
      <c r="D508" s="6" t="s">
        <v>789</v>
      </c>
      <c r="E508" s="7" t="s">
        <v>937</v>
      </c>
      <c r="F508" s="5"/>
      <c r="G508" s="5"/>
    </row>
    <row r="509" spans="1:7" ht="99" thickBot="1">
      <c r="A509" s="3">
        <v>507</v>
      </c>
      <c r="B509" s="3" t="s">
        <v>1064</v>
      </c>
      <c r="C509" s="6" t="s">
        <v>1408</v>
      </c>
      <c r="D509" s="6" t="s">
        <v>1409</v>
      </c>
      <c r="E509" s="7" t="s">
        <v>1410</v>
      </c>
      <c r="F509" s="5"/>
      <c r="G509" s="5"/>
    </row>
    <row r="510" spans="1:7" ht="99" thickBot="1">
      <c r="A510" s="3">
        <v>508</v>
      </c>
      <c r="B510" s="3" t="s">
        <v>1064</v>
      </c>
      <c r="C510" s="6" t="s">
        <v>1411</v>
      </c>
      <c r="D510" s="6" t="s">
        <v>1412</v>
      </c>
      <c r="E510" s="7" t="s">
        <v>1413</v>
      </c>
      <c r="F510" s="5"/>
      <c r="G510" s="5"/>
    </row>
    <row r="511" spans="1:7" ht="99" thickBot="1">
      <c r="A511" s="3">
        <v>509</v>
      </c>
      <c r="B511" s="3" t="s">
        <v>1064</v>
      </c>
      <c r="C511" s="6" t="s">
        <v>1414</v>
      </c>
      <c r="D511" s="6" t="s">
        <v>1415</v>
      </c>
      <c r="E511" s="7" t="s">
        <v>727</v>
      </c>
      <c r="F511" s="5"/>
      <c r="G511" s="5"/>
    </row>
    <row r="512" spans="1:7" ht="99" thickBot="1">
      <c r="A512" s="3">
        <v>510</v>
      </c>
      <c r="B512" s="3" t="s">
        <v>1064</v>
      </c>
      <c r="C512" s="6" t="s">
        <v>1416</v>
      </c>
      <c r="D512" s="6" t="s">
        <v>1417</v>
      </c>
      <c r="E512" s="7" t="s">
        <v>1418</v>
      </c>
      <c r="F512" s="5"/>
      <c r="G512" s="5"/>
    </row>
    <row r="513" spans="1:7" ht="99" thickBot="1">
      <c r="A513" s="3">
        <v>511</v>
      </c>
      <c r="B513" s="3" t="s">
        <v>1064</v>
      </c>
      <c r="C513" s="6" t="s">
        <v>1419</v>
      </c>
      <c r="D513" s="6" t="s">
        <v>1420</v>
      </c>
      <c r="E513" s="7" t="s">
        <v>1421</v>
      </c>
      <c r="F513" s="5"/>
      <c r="G513" s="5"/>
    </row>
    <row r="514" spans="1:7" ht="99" thickBot="1">
      <c r="A514" s="3">
        <v>512</v>
      </c>
      <c r="B514" s="3" t="s">
        <v>1064</v>
      </c>
      <c r="C514" s="6" t="s">
        <v>1422</v>
      </c>
      <c r="D514" s="6" t="s">
        <v>1423</v>
      </c>
      <c r="E514" s="7" t="s">
        <v>786</v>
      </c>
      <c r="F514" s="5"/>
      <c r="G514" s="5"/>
    </row>
    <row r="515" spans="1:7" ht="112.8" thickBot="1">
      <c r="A515" s="3">
        <v>513</v>
      </c>
      <c r="B515" s="3" t="s">
        <v>1064</v>
      </c>
      <c r="C515" s="6" t="s">
        <v>1424</v>
      </c>
      <c r="D515" s="6" t="s">
        <v>1425</v>
      </c>
      <c r="E515" s="7" t="s">
        <v>1426</v>
      </c>
      <c r="F515" s="5"/>
      <c r="G515" s="5"/>
    </row>
    <row r="516" spans="1:7" ht="112.8" thickBot="1">
      <c r="A516" s="3">
        <v>514</v>
      </c>
      <c r="B516" s="3" t="s">
        <v>1064</v>
      </c>
      <c r="C516" s="6" t="s">
        <v>1427</v>
      </c>
      <c r="D516" s="6" t="s">
        <v>1428</v>
      </c>
      <c r="E516" s="7" t="s">
        <v>1429</v>
      </c>
      <c r="F516" s="5"/>
      <c r="G516" s="5"/>
    </row>
    <row r="517" spans="1:7" ht="99" thickBot="1">
      <c r="A517" s="3">
        <v>515</v>
      </c>
      <c r="B517" s="3" t="s">
        <v>1064</v>
      </c>
      <c r="C517" s="6" t="s">
        <v>1430</v>
      </c>
      <c r="D517" s="6" t="s">
        <v>1431</v>
      </c>
      <c r="E517" s="7" t="s">
        <v>1432</v>
      </c>
      <c r="F517" s="5"/>
      <c r="G517" s="5"/>
    </row>
    <row r="518" spans="1:7" ht="126.6" thickBot="1">
      <c r="A518" s="3">
        <v>516</v>
      </c>
      <c r="B518" s="3" t="s">
        <v>1064</v>
      </c>
      <c r="C518" s="6" t="s">
        <v>1433</v>
      </c>
      <c r="D518" s="6" t="s">
        <v>1434</v>
      </c>
      <c r="E518" s="7" t="s">
        <v>973</v>
      </c>
      <c r="F518" s="5"/>
      <c r="G518" s="5"/>
    </row>
    <row r="519" spans="1:7" ht="112.8" thickBot="1">
      <c r="A519" s="3">
        <v>517</v>
      </c>
      <c r="B519" s="3" t="s">
        <v>1064</v>
      </c>
      <c r="C519" s="6" t="s">
        <v>1435</v>
      </c>
      <c r="D519" s="6" t="s">
        <v>1436</v>
      </c>
      <c r="E519" s="7" t="s">
        <v>1437</v>
      </c>
      <c r="F519" s="5"/>
      <c r="G519" s="5"/>
    </row>
    <row r="520" spans="1:7" ht="126.6" thickBot="1">
      <c r="A520" s="3">
        <v>518</v>
      </c>
      <c r="B520" s="3" t="s">
        <v>1064</v>
      </c>
      <c r="C520" s="6" t="s">
        <v>1438</v>
      </c>
      <c r="D520" s="6" t="s">
        <v>1439</v>
      </c>
      <c r="E520" s="7" t="s">
        <v>1440</v>
      </c>
      <c r="F520" s="5"/>
      <c r="G520" s="5"/>
    </row>
    <row r="521" spans="1:7" ht="112.8" thickBot="1">
      <c r="A521" s="3">
        <v>519</v>
      </c>
      <c r="B521" s="3" t="s">
        <v>1064</v>
      </c>
      <c r="C521" s="6" t="s">
        <v>1441</v>
      </c>
      <c r="D521" s="6" t="s">
        <v>1442</v>
      </c>
      <c r="E521" s="7" t="s">
        <v>1443</v>
      </c>
      <c r="F521" s="5"/>
      <c r="G521" s="5"/>
    </row>
    <row r="522" spans="1:7" ht="99" thickBot="1">
      <c r="A522" s="3">
        <v>520</v>
      </c>
      <c r="B522" s="3" t="s">
        <v>1064</v>
      </c>
      <c r="C522" s="6" t="s">
        <v>1444</v>
      </c>
      <c r="D522" s="6" t="s">
        <v>1055</v>
      </c>
      <c r="E522" s="7" t="s">
        <v>1445</v>
      </c>
      <c r="F522" s="5"/>
      <c r="G522" s="5"/>
    </row>
    <row r="523" spans="1:7" ht="112.8" thickBot="1">
      <c r="A523" s="3">
        <v>521</v>
      </c>
      <c r="B523" s="3" t="s">
        <v>1064</v>
      </c>
      <c r="C523" s="6" t="s">
        <v>1446</v>
      </c>
      <c r="D523" s="6" t="s">
        <v>1447</v>
      </c>
      <c r="E523" s="7" t="s">
        <v>1448</v>
      </c>
      <c r="F523" s="5"/>
      <c r="G523" s="5"/>
    </row>
    <row r="524" spans="1:7" ht="112.8" thickBot="1">
      <c r="A524" s="3">
        <v>522</v>
      </c>
      <c r="B524" s="3" t="s">
        <v>1064</v>
      </c>
      <c r="C524" s="6" t="s">
        <v>1449</v>
      </c>
      <c r="D524" s="6" t="s">
        <v>1450</v>
      </c>
      <c r="E524" s="7" t="s">
        <v>1451</v>
      </c>
      <c r="F524" s="5"/>
      <c r="G524" s="5"/>
    </row>
    <row r="525" spans="1:7" ht="112.8" thickBot="1">
      <c r="A525" s="3">
        <v>523</v>
      </c>
      <c r="B525" s="3" t="s">
        <v>1064</v>
      </c>
      <c r="C525" s="6" t="s">
        <v>1452</v>
      </c>
      <c r="D525" s="6" t="s">
        <v>1453</v>
      </c>
      <c r="E525" s="7" t="s">
        <v>1454</v>
      </c>
      <c r="F525" s="5"/>
      <c r="G525" s="5"/>
    </row>
    <row r="526" spans="1:7" ht="99" thickBot="1">
      <c r="A526" s="3">
        <v>524</v>
      </c>
      <c r="B526" s="3" t="s">
        <v>1064</v>
      </c>
      <c r="C526" s="6" t="s">
        <v>1455</v>
      </c>
      <c r="D526" s="6" t="s">
        <v>1146</v>
      </c>
      <c r="E526" s="7" t="s">
        <v>1456</v>
      </c>
      <c r="F526" s="5"/>
      <c r="G526" s="5"/>
    </row>
    <row r="527" spans="1:7" ht="99" thickBot="1">
      <c r="A527" s="3">
        <v>525</v>
      </c>
      <c r="B527" s="3" t="s">
        <v>1064</v>
      </c>
      <c r="C527" s="6" t="s">
        <v>1457</v>
      </c>
      <c r="D527" s="6" t="s">
        <v>1458</v>
      </c>
      <c r="E527" s="7" t="s">
        <v>1459</v>
      </c>
      <c r="F527" s="5"/>
      <c r="G527" s="5"/>
    </row>
    <row r="528" spans="1:7" ht="112.8" thickBot="1">
      <c r="A528" s="3">
        <v>526</v>
      </c>
      <c r="B528" s="3" t="s">
        <v>1064</v>
      </c>
      <c r="C528" s="6" t="s">
        <v>1460</v>
      </c>
      <c r="D528" s="6" t="s">
        <v>1461</v>
      </c>
      <c r="E528" s="7" t="s">
        <v>1462</v>
      </c>
      <c r="F528" s="5"/>
      <c r="G528" s="5"/>
    </row>
    <row r="529" spans="1:7" ht="112.8" thickBot="1">
      <c r="A529" s="3">
        <v>527</v>
      </c>
      <c r="B529" s="3" t="s">
        <v>1064</v>
      </c>
      <c r="C529" s="6" t="s">
        <v>1463</v>
      </c>
      <c r="D529" s="6" t="s">
        <v>1464</v>
      </c>
      <c r="E529" s="7" t="s">
        <v>1465</v>
      </c>
      <c r="F529" s="5"/>
      <c r="G529" s="5"/>
    </row>
    <row r="530" spans="1:7" ht="112.8" thickBot="1">
      <c r="A530" s="3">
        <v>528</v>
      </c>
      <c r="B530" s="3" t="s">
        <v>1064</v>
      </c>
      <c r="C530" s="6" t="s">
        <v>1466</v>
      </c>
      <c r="D530" s="6" t="s">
        <v>812</v>
      </c>
      <c r="E530" s="7" t="s">
        <v>1467</v>
      </c>
      <c r="F530" s="5"/>
      <c r="G530" s="5"/>
    </row>
    <row r="531" spans="1:7" ht="99" thickBot="1">
      <c r="A531" s="3">
        <v>529</v>
      </c>
      <c r="B531" s="3" t="s">
        <v>1064</v>
      </c>
      <c r="C531" s="6" t="s">
        <v>1468</v>
      </c>
      <c r="D531" s="6" t="s">
        <v>731</v>
      </c>
      <c r="E531" s="7" t="s">
        <v>1469</v>
      </c>
      <c r="F531" s="5"/>
      <c r="G531" s="5"/>
    </row>
    <row r="532" spans="1:7" ht="126.6" thickBot="1">
      <c r="A532" s="3">
        <v>530</v>
      </c>
      <c r="B532" s="3" t="s">
        <v>1064</v>
      </c>
      <c r="C532" s="6" t="s">
        <v>1470</v>
      </c>
      <c r="D532" s="6" t="s">
        <v>1471</v>
      </c>
      <c r="E532" s="7" t="s">
        <v>1472</v>
      </c>
      <c r="F532" s="5"/>
      <c r="G532" s="5"/>
    </row>
    <row r="533" spans="1:7" ht="99" thickBot="1">
      <c r="A533" s="3">
        <v>531</v>
      </c>
      <c r="B533" s="3" t="s">
        <v>1064</v>
      </c>
      <c r="C533" s="6" t="s">
        <v>1473</v>
      </c>
      <c r="D533" s="6" t="s">
        <v>1474</v>
      </c>
      <c r="E533" s="7" t="s">
        <v>1475</v>
      </c>
      <c r="F533" s="5"/>
      <c r="G533" s="5"/>
    </row>
    <row r="534" spans="1:7" ht="99" thickBot="1">
      <c r="A534" s="3">
        <v>532</v>
      </c>
      <c r="B534" s="3" t="s">
        <v>1064</v>
      </c>
      <c r="C534" s="6" t="s">
        <v>1476</v>
      </c>
      <c r="D534" s="6" t="s">
        <v>1477</v>
      </c>
      <c r="E534" s="7" t="s">
        <v>1478</v>
      </c>
      <c r="F534" s="5"/>
      <c r="G534" s="5"/>
    </row>
    <row r="535" spans="1:7" ht="99" thickBot="1">
      <c r="A535" s="3">
        <v>533</v>
      </c>
      <c r="B535" s="3" t="s">
        <v>1064</v>
      </c>
      <c r="C535" s="6" t="s">
        <v>1479</v>
      </c>
      <c r="D535" s="6" t="s">
        <v>1366</v>
      </c>
      <c r="E535" s="7" t="s">
        <v>1480</v>
      </c>
      <c r="F535" s="5"/>
      <c r="G535" s="5"/>
    </row>
    <row r="536" spans="1:7" ht="209.4" thickBot="1">
      <c r="A536" s="3">
        <v>534</v>
      </c>
      <c r="B536" s="3" t="s">
        <v>1064</v>
      </c>
      <c r="C536" s="6" t="s">
        <v>1481</v>
      </c>
      <c r="D536" s="6" t="s">
        <v>1482</v>
      </c>
      <c r="E536" s="7" t="s">
        <v>1483</v>
      </c>
      <c r="F536" s="5"/>
      <c r="G536" s="5"/>
    </row>
    <row r="537" spans="1:7" ht="112.8" thickBot="1">
      <c r="A537" s="3">
        <v>535</v>
      </c>
      <c r="B537" s="3" t="s">
        <v>1064</v>
      </c>
      <c r="C537" s="6" t="s">
        <v>1484</v>
      </c>
      <c r="D537" s="6" t="s">
        <v>1485</v>
      </c>
      <c r="E537" s="7" t="s">
        <v>1486</v>
      </c>
      <c r="F537" s="5"/>
      <c r="G537" s="5"/>
    </row>
    <row r="538" spans="1:7" ht="99" thickBot="1">
      <c r="A538" s="3">
        <v>536</v>
      </c>
      <c r="B538" s="3" t="s">
        <v>1064</v>
      </c>
      <c r="C538" s="6" t="s">
        <v>1487</v>
      </c>
      <c r="D538" s="6" t="s">
        <v>1488</v>
      </c>
      <c r="E538" s="7" t="s">
        <v>1489</v>
      </c>
      <c r="F538" s="5"/>
      <c r="G538" s="5"/>
    </row>
    <row r="539" spans="1:7" ht="99" thickBot="1">
      <c r="A539" s="3">
        <v>537</v>
      </c>
      <c r="B539" s="3" t="s">
        <v>1064</v>
      </c>
      <c r="C539" s="6" t="s">
        <v>1490</v>
      </c>
      <c r="D539" s="6" t="s">
        <v>1288</v>
      </c>
      <c r="E539" s="7" t="s">
        <v>1491</v>
      </c>
      <c r="F539" s="5"/>
      <c r="G539" s="5"/>
    </row>
    <row r="540" spans="1:7" ht="126.6" thickBot="1">
      <c r="A540" s="3">
        <v>538</v>
      </c>
      <c r="B540" s="3" t="s">
        <v>1064</v>
      </c>
      <c r="C540" s="6" t="s">
        <v>1492</v>
      </c>
      <c r="D540" s="6" t="s">
        <v>1493</v>
      </c>
      <c r="E540" s="7" t="s">
        <v>1494</v>
      </c>
      <c r="F540" s="5"/>
      <c r="G540" s="5"/>
    </row>
    <row r="541" spans="1:7" ht="126.6" thickBot="1">
      <c r="A541" s="3">
        <v>539</v>
      </c>
      <c r="B541" s="3" t="s">
        <v>1064</v>
      </c>
      <c r="C541" s="6" t="s">
        <v>1495</v>
      </c>
      <c r="D541" s="6" t="s">
        <v>1496</v>
      </c>
      <c r="E541" s="7" t="s">
        <v>1497</v>
      </c>
      <c r="F541" s="5"/>
      <c r="G541" s="5"/>
    </row>
    <row r="542" spans="1:7" ht="112.8" thickBot="1">
      <c r="A542" s="3">
        <v>540</v>
      </c>
      <c r="B542" s="3" t="s">
        <v>1064</v>
      </c>
      <c r="C542" s="6" t="s">
        <v>1498</v>
      </c>
      <c r="D542" s="6" t="s">
        <v>1499</v>
      </c>
      <c r="E542" s="7" t="s">
        <v>1332</v>
      </c>
      <c r="F542" s="5"/>
      <c r="G542" s="5"/>
    </row>
    <row r="543" spans="1:7" ht="99" thickBot="1">
      <c r="A543" s="3">
        <v>541</v>
      </c>
      <c r="B543" s="3" t="s">
        <v>1064</v>
      </c>
      <c r="C543" s="6" t="s">
        <v>1500</v>
      </c>
      <c r="D543" s="6" t="s">
        <v>1501</v>
      </c>
      <c r="E543" s="7" t="s">
        <v>1502</v>
      </c>
      <c r="F543" s="5"/>
      <c r="G543" s="5"/>
    </row>
    <row r="544" spans="1:7" ht="99" thickBot="1">
      <c r="A544" s="3">
        <v>542</v>
      </c>
      <c r="B544" s="3" t="s">
        <v>1064</v>
      </c>
      <c r="C544" s="6" t="s">
        <v>1503</v>
      </c>
      <c r="D544" s="6" t="s">
        <v>1198</v>
      </c>
      <c r="E544" s="7" t="s">
        <v>1504</v>
      </c>
      <c r="F544" s="5"/>
      <c r="G544" s="5"/>
    </row>
    <row r="545" spans="1:7" ht="112.8" thickBot="1">
      <c r="A545" s="3">
        <v>543</v>
      </c>
      <c r="B545" s="3" t="s">
        <v>1064</v>
      </c>
      <c r="C545" s="6" t="s">
        <v>1505</v>
      </c>
      <c r="D545" s="6" t="s">
        <v>1506</v>
      </c>
      <c r="E545" s="7" t="s">
        <v>1507</v>
      </c>
      <c r="F545" s="5"/>
      <c r="G545" s="5"/>
    </row>
    <row r="546" spans="1:7" ht="112.8" thickBot="1">
      <c r="A546" s="3">
        <v>544</v>
      </c>
      <c r="B546" s="3" t="s">
        <v>1064</v>
      </c>
      <c r="C546" s="6" t="s">
        <v>1508</v>
      </c>
      <c r="D546" s="6" t="s">
        <v>1509</v>
      </c>
      <c r="E546" s="7" t="s">
        <v>1510</v>
      </c>
      <c r="F546" s="5"/>
      <c r="G546" s="5"/>
    </row>
    <row r="547" spans="1:7" ht="99" thickBot="1">
      <c r="A547" s="3">
        <v>545</v>
      </c>
      <c r="B547" s="3" t="s">
        <v>1064</v>
      </c>
      <c r="C547" s="6" t="s">
        <v>1511</v>
      </c>
      <c r="D547" s="6" t="s">
        <v>1512</v>
      </c>
      <c r="E547" s="7" t="s">
        <v>1513</v>
      </c>
      <c r="F547" s="5"/>
      <c r="G547" s="5"/>
    </row>
    <row r="548" spans="1:7" ht="99" thickBot="1">
      <c r="A548" s="3">
        <v>546</v>
      </c>
      <c r="B548" s="3" t="s">
        <v>1064</v>
      </c>
      <c r="C548" s="6" t="s">
        <v>1514</v>
      </c>
      <c r="D548" s="6" t="s">
        <v>914</v>
      </c>
      <c r="E548" s="7" t="s">
        <v>1515</v>
      </c>
      <c r="F548" s="5"/>
      <c r="G548" s="5"/>
    </row>
    <row r="549" spans="1:7" ht="99" thickBot="1">
      <c r="A549" s="3">
        <v>547</v>
      </c>
      <c r="B549" s="3" t="s">
        <v>1064</v>
      </c>
      <c r="C549" s="6" t="s">
        <v>1516</v>
      </c>
      <c r="D549" s="6" t="s">
        <v>1517</v>
      </c>
      <c r="E549" s="7" t="s">
        <v>1518</v>
      </c>
      <c r="F549" s="5"/>
      <c r="G549" s="5"/>
    </row>
    <row r="550" spans="1:7" ht="112.8" thickBot="1">
      <c r="A550" s="3">
        <v>548</v>
      </c>
      <c r="B550" s="3" t="s">
        <v>1064</v>
      </c>
      <c r="C550" s="6" t="s">
        <v>1519</v>
      </c>
      <c r="D550" s="6" t="s">
        <v>821</v>
      </c>
      <c r="E550" s="7" t="s">
        <v>1520</v>
      </c>
      <c r="F550" s="5"/>
      <c r="G550" s="5"/>
    </row>
    <row r="551" spans="1:7" ht="140.4" thickBot="1">
      <c r="A551" s="3">
        <v>549</v>
      </c>
      <c r="B551" s="3" t="s">
        <v>1064</v>
      </c>
      <c r="C551" s="6" t="s">
        <v>1521</v>
      </c>
      <c r="D551" s="6" t="s">
        <v>1522</v>
      </c>
      <c r="E551" s="7" t="s">
        <v>1523</v>
      </c>
      <c r="F551" s="5"/>
      <c r="G551" s="5"/>
    </row>
    <row r="552" spans="1:7" ht="99" thickBot="1">
      <c r="A552" s="3">
        <v>550</v>
      </c>
      <c r="B552" s="3" t="s">
        <v>1064</v>
      </c>
      <c r="C552" s="6" t="s">
        <v>1524</v>
      </c>
      <c r="D552" s="6" t="s">
        <v>1525</v>
      </c>
      <c r="E552" s="7" t="s">
        <v>1526</v>
      </c>
      <c r="F552" s="5"/>
      <c r="G552" s="5"/>
    </row>
    <row r="553" spans="1:7" ht="112.8" thickBot="1">
      <c r="A553" s="3">
        <v>551</v>
      </c>
      <c r="B553" s="3" t="s">
        <v>1064</v>
      </c>
      <c r="C553" s="6" t="s">
        <v>1527</v>
      </c>
      <c r="D553" s="6" t="s">
        <v>1528</v>
      </c>
      <c r="E553" s="7" t="s">
        <v>1529</v>
      </c>
      <c r="F553" s="5"/>
      <c r="G553" s="5"/>
    </row>
    <row r="554" spans="1:7" ht="99" thickBot="1">
      <c r="A554" s="3">
        <v>552</v>
      </c>
      <c r="B554" s="3" t="s">
        <v>1064</v>
      </c>
      <c r="C554" s="6" t="s">
        <v>1530</v>
      </c>
      <c r="D554" s="6" t="s">
        <v>871</v>
      </c>
      <c r="E554" s="7" t="s">
        <v>1531</v>
      </c>
      <c r="F554" s="5"/>
      <c r="G554" s="5"/>
    </row>
    <row r="555" spans="1:7" ht="112.8" thickBot="1">
      <c r="A555" s="3">
        <v>553</v>
      </c>
      <c r="B555" s="3" t="s">
        <v>1064</v>
      </c>
      <c r="C555" s="6" t="s">
        <v>1532</v>
      </c>
      <c r="D555" s="6" t="s">
        <v>1533</v>
      </c>
      <c r="E555" s="7" t="s">
        <v>1534</v>
      </c>
      <c r="F555" s="5"/>
      <c r="G555" s="5"/>
    </row>
    <row r="556" spans="1:7" ht="99" thickBot="1">
      <c r="A556" s="3">
        <v>554</v>
      </c>
      <c r="B556" s="3" t="s">
        <v>1064</v>
      </c>
      <c r="C556" s="6" t="s">
        <v>1535</v>
      </c>
      <c r="D556" s="6" t="s">
        <v>1536</v>
      </c>
      <c r="E556" s="7" t="s">
        <v>676</v>
      </c>
      <c r="F556" s="5"/>
      <c r="G556" s="5"/>
    </row>
    <row r="557" spans="1:7" ht="99" thickBot="1">
      <c r="A557" s="3">
        <v>555</v>
      </c>
      <c r="B557" s="3" t="s">
        <v>1064</v>
      </c>
      <c r="C557" s="6" t="s">
        <v>1537</v>
      </c>
      <c r="D557" s="6" t="s">
        <v>871</v>
      </c>
      <c r="E557" s="7" t="s">
        <v>1538</v>
      </c>
      <c r="F557" s="5"/>
      <c r="G557" s="5"/>
    </row>
    <row r="558" spans="1:7" ht="99" thickBot="1">
      <c r="A558" s="3">
        <v>556</v>
      </c>
      <c r="B558" s="3" t="s">
        <v>1064</v>
      </c>
      <c r="C558" s="6" t="s">
        <v>1539</v>
      </c>
      <c r="D558" s="6" t="s">
        <v>667</v>
      </c>
      <c r="E558" s="7" t="s">
        <v>1540</v>
      </c>
      <c r="F558" s="5"/>
      <c r="G558" s="5"/>
    </row>
    <row r="559" spans="1:7" ht="112.8" thickBot="1">
      <c r="A559" s="3">
        <v>557</v>
      </c>
      <c r="B559" s="3" t="s">
        <v>1064</v>
      </c>
      <c r="C559" s="6" t="s">
        <v>1541</v>
      </c>
      <c r="D559" s="6" t="s">
        <v>1231</v>
      </c>
      <c r="E559" s="7" t="s">
        <v>1542</v>
      </c>
      <c r="F559" s="5"/>
      <c r="G559" s="5"/>
    </row>
    <row r="560" spans="1:7" ht="112.8" thickBot="1">
      <c r="A560" s="3">
        <v>558</v>
      </c>
      <c r="B560" s="3" t="s">
        <v>1064</v>
      </c>
      <c r="C560" s="6" t="s">
        <v>1543</v>
      </c>
      <c r="D560" s="6" t="s">
        <v>1544</v>
      </c>
      <c r="E560" s="7" t="s">
        <v>1545</v>
      </c>
      <c r="F560" s="5"/>
      <c r="G560" s="5"/>
    </row>
    <row r="561" spans="1:7" ht="99" thickBot="1">
      <c r="A561" s="3">
        <v>559</v>
      </c>
      <c r="B561" s="3" t="s">
        <v>1064</v>
      </c>
      <c r="C561" s="6" t="s">
        <v>1546</v>
      </c>
      <c r="D561" s="6" t="s">
        <v>1547</v>
      </c>
      <c r="E561" s="7" t="s">
        <v>1548</v>
      </c>
      <c r="F561" s="5"/>
      <c r="G561" s="5"/>
    </row>
    <row r="562" spans="1:7" ht="126.6" thickBot="1">
      <c r="A562" s="3">
        <v>560</v>
      </c>
      <c r="B562" s="3" t="s">
        <v>1064</v>
      </c>
      <c r="C562" s="6" t="s">
        <v>1549</v>
      </c>
      <c r="D562" s="6" t="s">
        <v>1550</v>
      </c>
      <c r="E562" s="7" t="s">
        <v>1551</v>
      </c>
      <c r="F562" s="5"/>
      <c r="G562" s="5"/>
    </row>
    <row r="563" spans="1:7" ht="99" thickBot="1">
      <c r="A563" s="3">
        <v>561</v>
      </c>
      <c r="B563" s="3" t="s">
        <v>1064</v>
      </c>
      <c r="C563" s="6" t="s">
        <v>1552</v>
      </c>
      <c r="D563" s="6" t="s">
        <v>1553</v>
      </c>
      <c r="E563" s="7" t="s">
        <v>1554</v>
      </c>
      <c r="F563" s="5"/>
      <c r="G563" s="5"/>
    </row>
    <row r="564" spans="1:7" ht="112.8" thickBot="1">
      <c r="A564" s="3">
        <v>562</v>
      </c>
      <c r="B564" s="3" t="s">
        <v>1064</v>
      </c>
      <c r="C564" s="6" t="s">
        <v>1555</v>
      </c>
      <c r="D564" s="6" t="s">
        <v>1193</v>
      </c>
      <c r="E564" s="7" t="s">
        <v>1556</v>
      </c>
      <c r="F564" s="5"/>
      <c r="G564" s="5"/>
    </row>
    <row r="565" spans="1:7" ht="99" thickBot="1">
      <c r="A565" s="3">
        <v>563</v>
      </c>
      <c r="B565" s="3" t="s">
        <v>1064</v>
      </c>
      <c r="C565" s="6" t="s">
        <v>1557</v>
      </c>
      <c r="D565" s="6" t="s">
        <v>1558</v>
      </c>
      <c r="E565" s="7" t="s">
        <v>1559</v>
      </c>
      <c r="F565" s="5"/>
      <c r="G565" s="5"/>
    </row>
    <row r="566" spans="1:7" ht="99" thickBot="1">
      <c r="A566" s="3">
        <v>564</v>
      </c>
      <c r="B566" s="3" t="s">
        <v>1064</v>
      </c>
      <c r="C566" s="6" t="s">
        <v>1560</v>
      </c>
      <c r="D566" s="6" t="s">
        <v>1561</v>
      </c>
      <c r="E566" s="7" t="s">
        <v>1562</v>
      </c>
      <c r="F566" s="5"/>
      <c r="G566" s="5"/>
    </row>
    <row r="567" spans="1:7" ht="99" thickBot="1">
      <c r="A567" s="3">
        <v>565</v>
      </c>
      <c r="B567" s="3" t="s">
        <v>1064</v>
      </c>
      <c r="C567" s="6" t="s">
        <v>1563</v>
      </c>
      <c r="D567" s="6" t="s">
        <v>1564</v>
      </c>
      <c r="E567" s="7" t="s">
        <v>1565</v>
      </c>
      <c r="F567" s="5"/>
      <c r="G567" s="5"/>
    </row>
    <row r="568" spans="1:7" ht="99" thickBot="1">
      <c r="A568" s="3">
        <v>566</v>
      </c>
      <c r="B568" s="3" t="s">
        <v>1064</v>
      </c>
      <c r="C568" s="6" t="s">
        <v>1566</v>
      </c>
      <c r="D568" s="6" t="s">
        <v>1567</v>
      </c>
      <c r="E568" s="7" t="s">
        <v>1568</v>
      </c>
      <c r="F568" s="5"/>
      <c r="G568" s="5"/>
    </row>
    <row r="569" spans="1:7" ht="126.6" thickBot="1">
      <c r="A569" s="3">
        <v>567</v>
      </c>
      <c r="B569" s="3" t="s">
        <v>1064</v>
      </c>
      <c r="C569" s="6" t="s">
        <v>1569</v>
      </c>
      <c r="D569" s="6" t="s">
        <v>1570</v>
      </c>
      <c r="E569" s="7" t="s">
        <v>1571</v>
      </c>
      <c r="F569" s="5"/>
      <c r="G569" s="5"/>
    </row>
    <row r="570" spans="1:7" ht="112.8" thickBot="1">
      <c r="A570" s="3">
        <v>568</v>
      </c>
      <c r="B570" s="3" t="s">
        <v>1666</v>
      </c>
      <c r="C570" s="6" t="s">
        <v>1667</v>
      </c>
      <c r="D570" s="6" t="s">
        <v>1668</v>
      </c>
      <c r="E570" s="7" t="s">
        <v>1669</v>
      </c>
      <c r="F570" s="5"/>
      <c r="G570" s="5"/>
    </row>
    <row r="571" spans="1:7" ht="99" thickBot="1">
      <c r="A571" s="3">
        <v>569</v>
      </c>
      <c r="B571" s="3" t="s">
        <v>1666</v>
      </c>
      <c r="C571" s="6" t="s">
        <v>1670</v>
      </c>
      <c r="D571" s="6" t="s">
        <v>1671</v>
      </c>
      <c r="E571" s="7" t="s">
        <v>1672</v>
      </c>
      <c r="F571" s="5"/>
      <c r="G571" s="5"/>
    </row>
    <row r="572" spans="1:7" ht="99" thickBot="1">
      <c r="A572" s="3">
        <v>570</v>
      </c>
      <c r="B572" s="3" t="s">
        <v>1666</v>
      </c>
      <c r="C572" s="6" t="s">
        <v>1673</v>
      </c>
      <c r="D572" s="6" t="s">
        <v>1674</v>
      </c>
      <c r="E572" s="7" t="s">
        <v>1675</v>
      </c>
      <c r="F572" s="5"/>
      <c r="G572" s="5"/>
    </row>
    <row r="573" spans="1:7" ht="99" thickBot="1">
      <c r="A573" s="3">
        <v>571</v>
      </c>
      <c r="B573" s="3" t="s">
        <v>1666</v>
      </c>
      <c r="C573" s="6" t="s">
        <v>1676</v>
      </c>
      <c r="D573" s="6" t="s">
        <v>1677</v>
      </c>
      <c r="E573" s="7" t="s">
        <v>1448</v>
      </c>
      <c r="F573" s="5"/>
      <c r="G573" s="5"/>
    </row>
    <row r="574" spans="1:7" ht="99" thickBot="1">
      <c r="A574" s="3">
        <v>572</v>
      </c>
      <c r="B574" s="3" t="s">
        <v>1666</v>
      </c>
      <c r="C574" s="6" t="s">
        <v>1678</v>
      </c>
      <c r="D574" s="6" t="s">
        <v>1679</v>
      </c>
      <c r="E574" s="7" t="s">
        <v>1680</v>
      </c>
      <c r="F574" s="5"/>
      <c r="G574" s="5"/>
    </row>
    <row r="575" spans="1:7" ht="99" thickBot="1">
      <c r="A575" s="3">
        <v>573</v>
      </c>
      <c r="B575" s="3" t="s">
        <v>1666</v>
      </c>
      <c r="C575" s="6" t="s">
        <v>1681</v>
      </c>
      <c r="D575" s="6" t="s">
        <v>1682</v>
      </c>
      <c r="E575" s="7" t="s">
        <v>1683</v>
      </c>
      <c r="F575" s="5"/>
      <c r="G575" s="5"/>
    </row>
    <row r="576" spans="1:7" ht="99" thickBot="1">
      <c r="A576" s="3">
        <v>574</v>
      </c>
      <c r="B576" s="3" t="s">
        <v>1666</v>
      </c>
      <c r="C576" s="6" t="s">
        <v>1684</v>
      </c>
      <c r="D576" s="6" t="s">
        <v>1685</v>
      </c>
      <c r="E576" s="7" t="s">
        <v>1686</v>
      </c>
      <c r="F576" s="5"/>
      <c r="G576" s="5"/>
    </row>
    <row r="577" spans="1:7" ht="99" thickBot="1">
      <c r="A577" s="3">
        <v>575</v>
      </c>
      <c r="B577" s="3" t="s">
        <v>1666</v>
      </c>
      <c r="C577" s="6" t="s">
        <v>1687</v>
      </c>
      <c r="D577" s="6" t="s">
        <v>1688</v>
      </c>
      <c r="E577" s="7" t="s">
        <v>1689</v>
      </c>
      <c r="F577" s="5"/>
      <c r="G577" s="5"/>
    </row>
    <row r="578" spans="1:7" ht="99" thickBot="1">
      <c r="A578" s="3">
        <v>576</v>
      </c>
      <c r="B578" s="3" t="s">
        <v>1666</v>
      </c>
      <c r="C578" s="6" t="s">
        <v>1690</v>
      </c>
      <c r="D578" s="6" t="s">
        <v>1691</v>
      </c>
      <c r="E578" s="7" t="s">
        <v>1692</v>
      </c>
      <c r="F578" s="5"/>
      <c r="G578" s="5"/>
    </row>
    <row r="579" spans="1:7" ht="112.8" thickBot="1">
      <c r="A579" s="3">
        <v>577</v>
      </c>
      <c r="B579" s="3" t="s">
        <v>1666</v>
      </c>
      <c r="C579" s="6" t="s">
        <v>1693</v>
      </c>
      <c r="D579" s="6" t="s">
        <v>1694</v>
      </c>
      <c r="E579" s="7" t="s">
        <v>1695</v>
      </c>
      <c r="F579" s="5"/>
      <c r="G579" s="5"/>
    </row>
    <row r="580" spans="1:7" ht="99" thickBot="1">
      <c r="A580" s="3">
        <v>578</v>
      </c>
      <c r="B580" s="3" t="s">
        <v>1666</v>
      </c>
      <c r="C580" s="6" t="s">
        <v>1696</v>
      </c>
      <c r="D580" s="6" t="s">
        <v>1697</v>
      </c>
      <c r="E580" s="7" t="s">
        <v>1698</v>
      </c>
      <c r="F580" s="5"/>
      <c r="G580" s="5"/>
    </row>
    <row r="581" spans="1:7" ht="112.8" thickBot="1">
      <c r="A581" s="3">
        <v>579</v>
      </c>
      <c r="B581" s="3" t="s">
        <v>1666</v>
      </c>
      <c r="C581" s="6" t="s">
        <v>1699</v>
      </c>
      <c r="D581" s="6" t="s">
        <v>1700</v>
      </c>
      <c r="E581" s="7" t="s">
        <v>1701</v>
      </c>
      <c r="F581" s="5"/>
      <c r="G581" s="5"/>
    </row>
    <row r="582" spans="1:7" ht="99" thickBot="1">
      <c r="A582" s="3">
        <v>580</v>
      </c>
      <c r="B582" s="3" t="s">
        <v>1666</v>
      </c>
      <c r="C582" s="6" t="s">
        <v>1702</v>
      </c>
      <c r="D582" s="6" t="s">
        <v>1703</v>
      </c>
      <c r="E582" s="7" t="s">
        <v>1704</v>
      </c>
      <c r="F582" s="5"/>
      <c r="G582" s="5"/>
    </row>
    <row r="583" spans="1:7" ht="112.8" thickBot="1">
      <c r="A583" s="3">
        <v>581</v>
      </c>
      <c r="B583" s="3" t="s">
        <v>1666</v>
      </c>
      <c r="C583" s="6" t="s">
        <v>1705</v>
      </c>
      <c r="D583" s="6" t="s">
        <v>1706</v>
      </c>
      <c r="E583" s="7" t="s">
        <v>1707</v>
      </c>
      <c r="F583" s="5"/>
      <c r="G583" s="5"/>
    </row>
    <row r="584" spans="1:7" ht="99" thickBot="1">
      <c r="A584" s="3">
        <v>582</v>
      </c>
      <c r="B584" s="3" t="s">
        <v>1666</v>
      </c>
      <c r="C584" s="6" t="s">
        <v>1708</v>
      </c>
      <c r="D584" s="6" t="s">
        <v>1709</v>
      </c>
      <c r="E584" s="7" t="s">
        <v>1710</v>
      </c>
      <c r="F584" s="5"/>
      <c r="G584" s="5"/>
    </row>
    <row r="585" spans="1:7" ht="112.8" thickBot="1">
      <c r="A585" s="3">
        <v>583</v>
      </c>
      <c r="B585" s="3" t="s">
        <v>1666</v>
      </c>
      <c r="C585" s="6" t="s">
        <v>1711</v>
      </c>
      <c r="D585" s="6" t="s">
        <v>1712</v>
      </c>
      <c r="E585" s="7" t="s">
        <v>1713</v>
      </c>
      <c r="F585" s="5"/>
      <c r="G585" s="5"/>
    </row>
    <row r="586" spans="1:7" ht="99" thickBot="1">
      <c r="A586" s="3">
        <v>584</v>
      </c>
      <c r="B586" s="3" t="s">
        <v>1666</v>
      </c>
      <c r="C586" s="6" t="s">
        <v>1714</v>
      </c>
      <c r="D586" s="6" t="s">
        <v>1715</v>
      </c>
      <c r="E586" s="7" t="s">
        <v>1716</v>
      </c>
      <c r="F586" s="5"/>
      <c r="G586" s="5"/>
    </row>
    <row r="587" spans="1:7" ht="112.8" thickBot="1">
      <c r="A587" s="3">
        <v>585</v>
      </c>
      <c r="B587" s="3" t="s">
        <v>1666</v>
      </c>
      <c r="C587" s="6" t="s">
        <v>1717</v>
      </c>
      <c r="D587" s="6" t="s">
        <v>1718</v>
      </c>
      <c r="E587" s="7" t="s">
        <v>1719</v>
      </c>
      <c r="F587" s="5"/>
      <c r="G587" s="5"/>
    </row>
    <row r="588" spans="1:7" ht="99" thickBot="1">
      <c r="A588" s="3">
        <v>586</v>
      </c>
      <c r="B588" s="3" t="s">
        <v>1666</v>
      </c>
      <c r="C588" s="6" t="s">
        <v>1720</v>
      </c>
      <c r="D588" s="6" t="s">
        <v>1721</v>
      </c>
      <c r="E588" s="7" t="s">
        <v>1722</v>
      </c>
      <c r="F588" s="5"/>
      <c r="G588" s="5"/>
    </row>
    <row r="589" spans="1:7" ht="112.8" thickBot="1">
      <c r="A589" s="3">
        <v>587</v>
      </c>
      <c r="B589" s="3" t="s">
        <v>1666</v>
      </c>
      <c r="C589" s="6" t="s">
        <v>1723</v>
      </c>
      <c r="D589" s="6" t="s">
        <v>1724</v>
      </c>
      <c r="E589" s="7" t="s">
        <v>1725</v>
      </c>
      <c r="F589" s="5"/>
      <c r="G589" s="5"/>
    </row>
    <row r="590" spans="1:7" ht="99" thickBot="1">
      <c r="A590" s="3">
        <v>588</v>
      </c>
      <c r="B590" s="3" t="s">
        <v>1666</v>
      </c>
      <c r="C590" s="6" t="s">
        <v>1726</v>
      </c>
      <c r="D590" s="6" t="s">
        <v>1727</v>
      </c>
      <c r="E590" s="7" t="s">
        <v>1728</v>
      </c>
      <c r="F590" s="5"/>
      <c r="G590" s="5"/>
    </row>
    <row r="591" spans="1:7" ht="112.8" thickBot="1">
      <c r="A591" s="3">
        <v>589</v>
      </c>
      <c r="B591" s="3" t="s">
        <v>1666</v>
      </c>
      <c r="C591" s="6" t="s">
        <v>1729</v>
      </c>
      <c r="D591" s="6" t="s">
        <v>1730</v>
      </c>
      <c r="E591" s="7" t="s">
        <v>1731</v>
      </c>
      <c r="F591" s="5"/>
      <c r="G591" s="5"/>
    </row>
    <row r="592" spans="1:7" ht="112.8" thickBot="1">
      <c r="A592" s="3">
        <v>590</v>
      </c>
      <c r="B592" s="3" t="s">
        <v>1666</v>
      </c>
      <c r="C592" s="6" t="s">
        <v>1732</v>
      </c>
      <c r="D592" s="6" t="s">
        <v>1694</v>
      </c>
      <c r="E592" s="7" t="s">
        <v>1733</v>
      </c>
      <c r="F592" s="5"/>
      <c r="G592" s="5"/>
    </row>
    <row r="593" spans="1:7" ht="99" thickBot="1">
      <c r="A593" s="3">
        <v>591</v>
      </c>
      <c r="B593" s="3" t="s">
        <v>1666</v>
      </c>
      <c r="C593" s="6" t="s">
        <v>1734</v>
      </c>
      <c r="D593" s="6" t="s">
        <v>1735</v>
      </c>
      <c r="E593" s="7" t="s">
        <v>1736</v>
      </c>
      <c r="F593" s="5"/>
      <c r="G593" s="5"/>
    </row>
    <row r="594" spans="1:7" ht="99" thickBot="1">
      <c r="A594" s="3">
        <v>592</v>
      </c>
      <c r="B594" s="3" t="s">
        <v>1666</v>
      </c>
      <c r="C594" s="6" t="s">
        <v>1737</v>
      </c>
      <c r="D594" s="6" t="s">
        <v>1738</v>
      </c>
      <c r="E594" s="7" t="s">
        <v>1739</v>
      </c>
      <c r="F594" s="5"/>
      <c r="G594" s="5"/>
    </row>
    <row r="595" spans="1:7" ht="112.8" thickBot="1">
      <c r="A595" s="3">
        <v>593</v>
      </c>
      <c r="B595" s="3" t="s">
        <v>1666</v>
      </c>
      <c r="C595" s="6" t="s">
        <v>1740</v>
      </c>
      <c r="D595" s="6" t="s">
        <v>1741</v>
      </c>
      <c r="E595" s="7" t="s">
        <v>1742</v>
      </c>
      <c r="F595" s="5"/>
      <c r="G595" s="5"/>
    </row>
    <row r="596" spans="1:7" ht="99" thickBot="1">
      <c r="A596" s="3">
        <v>594</v>
      </c>
      <c r="B596" s="3" t="s">
        <v>1666</v>
      </c>
      <c r="C596" s="6" t="s">
        <v>1743</v>
      </c>
      <c r="D596" s="6" t="s">
        <v>1744</v>
      </c>
      <c r="E596" s="7" t="s">
        <v>1745</v>
      </c>
      <c r="F596" s="5"/>
      <c r="G596" s="5"/>
    </row>
    <row r="597" spans="1:7" ht="112.8" thickBot="1">
      <c r="A597" s="3">
        <v>595</v>
      </c>
      <c r="B597" s="3" t="s">
        <v>1666</v>
      </c>
      <c r="C597" s="6" t="s">
        <v>1746</v>
      </c>
      <c r="D597" s="6" t="s">
        <v>1747</v>
      </c>
      <c r="E597" s="7" t="s">
        <v>1748</v>
      </c>
      <c r="F597" s="5"/>
      <c r="G597" s="5"/>
    </row>
    <row r="598" spans="1:7" ht="112.8" thickBot="1">
      <c r="A598" s="3">
        <v>596</v>
      </c>
      <c r="B598" s="3" t="s">
        <v>1666</v>
      </c>
      <c r="C598" s="6" t="s">
        <v>1749</v>
      </c>
      <c r="D598" s="6" t="s">
        <v>1750</v>
      </c>
      <c r="E598" s="7" t="s">
        <v>1751</v>
      </c>
      <c r="F598" s="5"/>
      <c r="G598" s="5"/>
    </row>
    <row r="599" spans="1:7" ht="99" thickBot="1">
      <c r="A599" s="3">
        <v>597</v>
      </c>
      <c r="B599" s="3" t="s">
        <v>1666</v>
      </c>
      <c r="C599" s="6" t="s">
        <v>1752</v>
      </c>
      <c r="D599" s="6" t="s">
        <v>1753</v>
      </c>
      <c r="E599" s="7" t="s">
        <v>1754</v>
      </c>
      <c r="F599" s="5"/>
      <c r="G599" s="5"/>
    </row>
    <row r="600" spans="1:7" ht="112.8" thickBot="1">
      <c r="A600" s="3">
        <v>598</v>
      </c>
      <c r="B600" s="3" t="s">
        <v>1666</v>
      </c>
      <c r="C600" s="6" t="s">
        <v>1755</v>
      </c>
      <c r="D600" s="6" t="s">
        <v>1756</v>
      </c>
      <c r="E600" s="7" t="s">
        <v>1757</v>
      </c>
      <c r="F600" s="5"/>
      <c r="G600" s="5"/>
    </row>
    <row r="601" spans="1:7" ht="99" thickBot="1">
      <c r="A601" s="3">
        <v>599</v>
      </c>
      <c r="B601" s="3" t="s">
        <v>1666</v>
      </c>
      <c r="C601" s="6" t="s">
        <v>1758</v>
      </c>
      <c r="D601" s="6" t="s">
        <v>1759</v>
      </c>
      <c r="E601" s="7" t="s">
        <v>1760</v>
      </c>
      <c r="F601" s="5"/>
      <c r="G601" s="5"/>
    </row>
    <row r="602" spans="1:7" ht="140.4" thickBot="1">
      <c r="A602" s="3">
        <v>600</v>
      </c>
      <c r="B602" s="3" t="s">
        <v>1666</v>
      </c>
      <c r="C602" s="6" t="s">
        <v>1761</v>
      </c>
      <c r="D602" s="6" t="s">
        <v>1762</v>
      </c>
      <c r="E602" s="7" t="s">
        <v>1763</v>
      </c>
      <c r="F602" s="5"/>
      <c r="G602" s="5"/>
    </row>
    <row r="603" spans="1:7" ht="99" thickBot="1">
      <c r="A603" s="3">
        <v>601</v>
      </c>
      <c r="B603" s="3" t="s">
        <v>1666</v>
      </c>
      <c r="C603" s="6" t="s">
        <v>1764</v>
      </c>
      <c r="D603" s="6" t="s">
        <v>1765</v>
      </c>
      <c r="E603" s="7" t="s">
        <v>1766</v>
      </c>
      <c r="F603" s="5"/>
      <c r="G603" s="5"/>
    </row>
    <row r="604" spans="1:7" ht="99" thickBot="1">
      <c r="A604" s="3">
        <v>602</v>
      </c>
      <c r="B604" s="3" t="s">
        <v>1666</v>
      </c>
      <c r="C604" s="6" t="s">
        <v>1767</v>
      </c>
      <c r="D604" s="6" t="s">
        <v>1768</v>
      </c>
      <c r="E604" s="7" t="s">
        <v>1769</v>
      </c>
      <c r="F604" s="5"/>
      <c r="G604" s="5"/>
    </row>
    <row r="605" spans="1:7" ht="112.8" thickBot="1">
      <c r="A605" s="3">
        <v>603</v>
      </c>
      <c r="B605" s="3" t="s">
        <v>1666</v>
      </c>
      <c r="C605" s="6" t="s">
        <v>1770</v>
      </c>
      <c r="D605" s="6" t="s">
        <v>1771</v>
      </c>
      <c r="E605" s="7" t="s">
        <v>1772</v>
      </c>
      <c r="F605" s="5"/>
      <c r="G605" s="5"/>
    </row>
    <row r="606" spans="1:7" ht="112.8" thickBot="1">
      <c r="A606" s="3">
        <v>604</v>
      </c>
      <c r="B606" s="3" t="s">
        <v>1666</v>
      </c>
      <c r="C606" s="6" t="s">
        <v>1773</v>
      </c>
      <c r="D606" s="6" t="s">
        <v>1774</v>
      </c>
      <c r="E606" s="7" t="s">
        <v>1775</v>
      </c>
      <c r="F606" s="5"/>
      <c r="G606" s="5"/>
    </row>
    <row r="607" spans="1:7" ht="99" thickBot="1">
      <c r="A607" s="3">
        <v>605</v>
      </c>
      <c r="B607" s="3" t="s">
        <v>1666</v>
      </c>
      <c r="C607" s="6" t="s">
        <v>1776</v>
      </c>
      <c r="D607" s="6" t="s">
        <v>1777</v>
      </c>
      <c r="E607" s="7" t="s">
        <v>1778</v>
      </c>
      <c r="F607" s="5"/>
      <c r="G607" s="5"/>
    </row>
    <row r="608" spans="1:7" ht="99" thickBot="1">
      <c r="A608" s="3">
        <v>606</v>
      </c>
      <c r="B608" s="3" t="s">
        <v>1666</v>
      </c>
      <c r="C608" s="6" t="s">
        <v>1779</v>
      </c>
      <c r="D608" s="6" t="s">
        <v>1780</v>
      </c>
      <c r="E608" s="7" t="s">
        <v>1781</v>
      </c>
      <c r="F608" s="5"/>
      <c r="G608" s="5"/>
    </row>
    <row r="609" spans="1:7" ht="99" thickBot="1">
      <c r="A609" s="3">
        <v>607</v>
      </c>
      <c r="B609" s="3" t="s">
        <v>1666</v>
      </c>
      <c r="C609" s="6" t="s">
        <v>1782</v>
      </c>
      <c r="D609" s="6" t="s">
        <v>1783</v>
      </c>
      <c r="E609" s="7" t="s">
        <v>1784</v>
      </c>
      <c r="F609" s="5"/>
      <c r="G609" s="5"/>
    </row>
    <row r="610" spans="1:7" ht="99" thickBot="1">
      <c r="A610" s="3">
        <v>608</v>
      </c>
      <c r="B610" s="3" t="s">
        <v>1666</v>
      </c>
      <c r="C610" s="6" t="s">
        <v>1785</v>
      </c>
      <c r="D610" s="6" t="s">
        <v>1786</v>
      </c>
      <c r="E610" s="7" t="s">
        <v>1787</v>
      </c>
      <c r="F610" s="5"/>
      <c r="G610" s="5"/>
    </row>
    <row r="611" spans="1:7" ht="112.8" thickBot="1">
      <c r="A611" s="3">
        <v>609</v>
      </c>
      <c r="B611" s="3" t="s">
        <v>1666</v>
      </c>
      <c r="C611" s="6" t="s">
        <v>1788</v>
      </c>
      <c r="D611" s="6" t="s">
        <v>1789</v>
      </c>
      <c r="E611" s="7" t="s">
        <v>1790</v>
      </c>
      <c r="F611" s="5"/>
      <c r="G611" s="5"/>
    </row>
    <row r="612" spans="1:7" ht="112.8" thickBot="1">
      <c r="A612" s="3">
        <v>610</v>
      </c>
      <c r="B612" s="3" t="s">
        <v>1666</v>
      </c>
      <c r="C612" s="6" t="s">
        <v>1791</v>
      </c>
      <c r="D612" s="6" t="s">
        <v>1792</v>
      </c>
      <c r="E612" s="7" t="s">
        <v>1793</v>
      </c>
      <c r="F612" s="5"/>
      <c r="G612" s="5"/>
    </row>
    <row r="613" spans="1:7" ht="112.8" thickBot="1">
      <c r="A613" s="3">
        <v>611</v>
      </c>
      <c r="B613" s="3" t="s">
        <v>1666</v>
      </c>
      <c r="C613" s="6" t="s">
        <v>1794</v>
      </c>
      <c r="D613" s="6" t="s">
        <v>1795</v>
      </c>
      <c r="E613" s="7" t="s">
        <v>1796</v>
      </c>
      <c r="F613" s="5"/>
      <c r="G613" s="5"/>
    </row>
    <row r="614" spans="1:7" ht="112.8" thickBot="1">
      <c r="A614" s="3">
        <v>612</v>
      </c>
      <c r="B614" s="3" t="s">
        <v>1666</v>
      </c>
      <c r="C614" s="6" t="s">
        <v>1797</v>
      </c>
      <c r="D614" s="6" t="s">
        <v>1798</v>
      </c>
      <c r="E614" s="7" t="s">
        <v>1799</v>
      </c>
      <c r="F614" s="5"/>
      <c r="G614" s="5"/>
    </row>
    <row r="615" spans="1:7" ht="99" thickBot="1">
      <c r="A615" s="3">
        <v>613</v>
      </c>
      <c r="B615" s="3" t="s">
        <v>1666</v>
      </c>
      <c r="C615" s="6" t="s">
        <v>1800</v>
      </c>
      <c r="D615" s="6" t="s">
        <v>1801</v>
      </c>
      <c r="E615" s="7" t="s">
        <v>1802</v>
      </c>
      <c r="F615" s="5"/>
      <c r="G615" s="5"/>
    </row>
    <row r="616" spans="1:7" ht="99" thickBot="1">
      <c r="A616" s="3">
        <v>614</v>
      </c>
      <c r="B616" s="3" t="s">
        <v>1666</v>
      </c>
      <c r="C616" s="6" t="s">
        <v>1803</v>
      </c>
      <c r="D616" s="6" t="s">
        <v>1804</v>
      </c>
      <c r="E616" s="7" t="s">
        <v>1805</v>
      </c>
      <c r="F616" s="5"/>
      <c r="G616" s="5"/>
    </row>
    <row r="617" spans="1:7" ht="99" thickBot="1">
      <c r="A617" s="3">
        <v>615</v>
      </c>
      <c r="B617" s="3" t="s">
        <v>1666</v>
      </c>
      <c r="C617" s="6" t="s">
        <v>1806</v>
      </c>
      <c r="D617" s="6" t="s">
        <v>1807</v>
      </c>
      <c r="E617" s="7" t="s">
        <v>1808</v>
      </c>
      <c r="F617" s="5"/>
      <c r="G617" s="5"/>
    </row>
    <row r="618" spans="1:7" ht="99" thickBot="1">
      <c r="A618" s="3">
        <v>616</v>
      </c>
      <c r="B618" s="3" t="s">
        <v>1666</v>
      </c>
      <c r="C618" s="6" t="s">
        <v>1809</v>
      </c>
      <c r="D618" s="6" t="s">
        <v>1810</v>
      </c>
      <c r="E618" s="7" t="s">
        <v>1811</v>
      </c>
      <c r="F618" s="5"/>
      <c r="G618" s="5"/>
    </row>
    <row r="619" spans="1:7" ht="99" thickBot="1">
      <c r="A619" s="3">
        <v>617</v>
      </c>
      <c r="B619" s="3" t="s">
        <v>1666</v>
      </c>
      <c r="C619" s="6" t="s">
        <v>1812</v>
      </c>
      <c r="D619" s="6" t="s">
        <v>1813</v>
      </c>
      <c r="E619" s="7" t="s">
        <v>1814</v>
      </c>
      <c r="F619" s="5"/>
      <c r="G619" s="5"/>
    </row>
    <row r="620" spans="1:7" ht="112.8" thickBot="1">
      <c r="A620" s="3">
        <v>618</v>
      </c>
      <c r="B620" s="3" t="s">
        <v>1666</v>
      </c>
      <c r="C620" s="6" t="s">
        <v>1815</v>
      </c>
      <c r="D620" s="6" t="s">
        <v>1816</v>
      </c>
      <c r="E620" s="7" t="s">
        <v>1817</v>
      </c>
      <c r="F620" s="5"/>
      <c r="G620" s="5"/>
    </row>
    <row r="621" spans="1:7" ht="99" thickBot="1">
      <c r="A621" s="3">
        <v>619</v>
      </c>
      <c r="B621" s="3" t="s">
        <v>1666</v>
      </c>
      <c r="C621" s="6" t="s">
        <v>1818</v>
      </c>
      <c r="D621" s="6" t="s">
        <v>1819</v>
      </c>
      <c r="E621" s="7" t="s">
        <v>1820</v>
      </c>
      <c r="F621" s="5"/>
      <c r="G621" s="5"/>
    </row>
    <row r="622" spans="1:7" ht="99" thickBot="1">
      <c r="A622" s="3">
        <v>620</v>
      </c>
      <c r="B622" s="3" t="s">
        <v>1666</v>
      </c>
      <c r="C622" s="6" t="s">
        <v>1821</v>
      </c>
      <c r="D622" s="6" t="s">
        <v>1822</v>
      </c>
      <c r="E622" s="7" t="s">
        <v>1823</v>
      </c>
      <c r="F622" s="5"/>
      <c r="G622" s="5"/>
    </row>
    <row r="623" spans="1:7" ht="112.8" thickBot="1">
      <c r="A623" s="3">
        <v>621</v>
      </c>
      <c r="B623" s="3" t="s">
        <v>1666</v>
      </c>
      <c r="C623" s="6" t="s">
        <v>1824</v>
      </c>
      <c r="D623" s="6" t="s">
        <v>1825</v>
      </c>
      <c r="E623" s="7" t="s">
        <v>1826</v>
      </c>
      <c r="F623" s="5"/>
      <c r="G623" s="5"/>
    </row>
    <row r="624" spans="1:7" ht="99" thickBot="1">
      <c r="A624" s="3">
        <v>622</v>
      </c>
      <c r="B624" s="3" t="s">
        <v>1666</v>
      </c>
      <c r="C624" s="6" t="s">
        <v>1827</v>
      </c>
      <c r="D624" s="6" t="s">
        <v>1828</v>
      </c>
      <c r="E624" s="7" t="s">
        <v>1829</v>
      </c>
      <c r="F624" s="5"/>
      <c r="G624" s="5"/>
    </row>
    <row r="625" spans="1:7" ht="126.6" thickBot="1">
      <c r="A625" s="3">
        <v>623</v>
      </c>
      <c r="B625" s="3" t="s">
        <v>1666</v>
      </c>
      <c r="C625" s="6" t="s">
        <v>1830</v>
      </c>
      <c r="D625" s="6" t="s">
        <v>1831</v>
      </c>
      <c r="E625" s="7" t="s">
        <v>1832</v>
      </c>
      <c r="F625" s="5"/>
      <c r="G625" s="5"/>
    </row>
    <row r="626" spans="1:7" ht="99" thickBot="1">
      <c r="A626" s="3">
        <v>624</v>
      </c>
      <c r="B626" s="3" t="s">
        <v>1666</v>
      </c>
      <c r="C626" s="6" t="s">
        <v>1833</v>
      </c>
      <c r="D626" s="6" t="s">
        <v>1834</v>
      </c>
      <c r="E626" s="7" t="s">
        <v>1835</v>
      </c>
      <c r="F626" s="5"/>
      <c r="G626" s="5"/>
    </row>
    <row r="627" spans="1:7" ht="99" thickBot="1">
      <c r="A627" s="3">
        <v>625</v>
      </c>
      <c r="B627" s="3" t="s">
        <v>1666</v>
      </c>
      <c r="C627" s="6" t="s">
        <v>1836</v>
      </c>
      <c r="D627" s="6" t="s">
        <v>1837</v>
      </c>
      <c r="E627" s="7" t="s">
        <v>1838</v>
      </c>
      <c r="F627" s="5"/>
      <c r="G627" s="5"/>
    </row>
    <row r="628" spans="1:7" ht="112.8" thickBot="1">
      <c r="A628" s="3">
        <v>626</v>
      </c>
      <c r="B628" s="3" t="s">
        <v>1666</v>
      </c>
      <c r="C628" s="6" t="s">
        <v>1839</v>
      </c>
      <c r="D628" s="6" t="s">
        <v>1840</v>
      </c>
      <c r="E628" s="7" t="s">
        <v>1841</v>
      </c>
      <c r="F628" s="5"/>
      <c r="G628" s="5"/>
    </row>
    <row r="629" spans="1:7" ht="112.8" thickBot="1">
      <c r="A629" s="3">
        <v>627</v>
      </c>
      <c r="B629" s="3" t="s">
        <v>1666</v>
      </c>
      <c r="C629" s="6" t="s">
        <v>1842</v>
      </c>
      <c r="D629" s="6" t="s">
        <v>1843</v>
      </c>
      <c r="E629" s="7" t="s">
        <v>1844</v>
      </c>
      <c r="F629" s="5"/>
      <c r="G629" s="5"/>
    </row>
    <row r="630" spans="1:7" ht="99" thickBot="1">
      <c r="A630" s="3">
        <v>628</v>
      </c>
      <c r="B630" s="3" t="s">
        <v>1666</v>
      </c>
      <c r="C630" s="6" t="s">
        <v>1845</v>
      </c>
      <c r="D630" s="6" t="s">
        <v>1846</v>
      </c>
      <c r="E630" s="7" t="s">
        <v>1847</v>
      </c>
      <c r="F630" s="5"/>
      <c r="G630" s="5"/>
    </row>
    <row r="631" spans="1:7" ht="99" thickBot="1">
      <c r="A631" s="3">
        <v>629</v>
      </c>
      <c r="B631" s="3" t="s">
        <v>1666</v>
      </c>
      <c r="C631" s="6" t="s">
        <v>1848</v>
      </c>
      <c r="D631" s="6" t="s">
        <v>1849</v>
      </c>
      <c r="E631" s="7" t="s">
        <v>1850</v>
      </c>
      <c r="F631" s="5"/>
      <c r="G631" s="5"/>
    </row>
    <row r="632" spans="1:7" ht="112.8" thickBot="1">
      <c r="A632" s="3">
        <v>630</v>
      </c>
      <c r="B632" s="3" t="s">
        <v>1666</v>
      </c>
      <c r="C632" s="6" t="s">
        <v>1851</v>
      </c>
      <c r="D632" s="6" t="s">
        <v>1852</v>
      </c>
      <c r="E632" s="7" t="s">
        <v>1853</v>
      </c>
      <c r="F632" s="5"/>
      <c r="G632" s="5"/>
    </row>
    <row r="633" spans="1:7" ht="99" thickBot="1">
      <c r="A633" s="3">
        <v>631</v>
      </c>
      <c r="B633" s="3" t="s">
        <v>1666</v>
      </c>
      <c r="C633" s="6" t="s">
        <v>1854</v>
      </c>
      <c r="D633" s="6" t="s">
        <v>1855</v>
      </c>
      <c r="E633" s="7" t="s">
        <v>1856</v>
      </c>
      <c r="F633" s="5"/>
      <c r="G633" s="5"/>
    </row>
    <row r="634" spans="1:7" ht="99" thickBot="1">
      <c r="A634" s="3">
        <v>632</v>
      </c>
      <c r="B634" s="3" t="s">
        <v>1666</v>
      </c>
      <c r="C634" s="6" t="s">
        <v>1857</v>
      </c>
      <c r="D634" s="6" t="s">
        <v>1858</v>
      </c>
      <c r="E634" s="7" t="s">
        <v>1859</v>
      </c>
      <c r="F634" s="5"/>
      <c r="G634" s="5"/>
    </row>
    <row r="635" spans="1:7" ht="126.6" thickBot="1">
      <c r="A635" s="3">
        <v>633</v>
      </c>
      <c r="B635" s="3" t="s">
        <v>1666</v>
      </c>
      <c r="C635" s="6" t="s">
        <v>1860</v>
      </c>
      <c r="D635" s="6" t="s">
        <v>1861</v>
      </c>
      <c r="E635" s="7" t="s">
        <v>1862</v>
      </c>
      <c r="F635" s="5"/>
      <c r="G635" s="5"/>
    </row>
    <row r="636" spans="1:7" ht="99" thickBot="1">
      <c r="A636" s="3">
        <v>634</v>
      </c>
      <c r="B636" s="3" t="s">
        <v>1666</v>
      </c>
      <c r="C636" s="6" t="s">
        <v>1863</v>
      </c>
      <c r="D636" s="6" t="s">
        <v>1864</v>
      </c>
      <c r="E636" s="7" t="s">
        <v>1865</v>
      </c>
      <c r="F636" s="5"/>
      <c r="G636" s="5"/>
    </row>
    <row r="637" spans="1:7" ht="99" thickBot="1">
      <c r="A637" s="3">
        <v>635</v>
      </c>
      <c r="B637" s="3" t="s">
        <v>1666</v>
      </c>
      <c r="C637" s="6" t="s">
        <v>1866</v>
      </c>
      <c r="D637" s="6" t="s">
        <v>1867</v>
      </c>
      <c r="E637" s="7" t="s">
        <v>1868</v>
      </c>
      <c r="F637" s="5"/>
      <c r="G637" s="5"/>
    </row>
    <row r="638" spans="1:7" ht="99" thickBot="1">
      <c r="A638" s="3">
        <v>636</v>
      </c>
      <c r="B638" s="3" t="s">
        <v>1666</v>
      </c>
      <c r="C638" s="6" t="s">
        <v>1869</v>
      </c>
      <c r="D638" s="6" t="s">
        <v>1870</v>
      </c>
      <c r="E638" s="7" t="s">
        <v>1871</v>
      </c>
      <c r="F638" s="5"/>
      <c r="G638" s="5"/>
    </row>
    <row r="639" spans="1:7" ht="112.8" thickBot="1">
      <c r="A639" s="3">
        <v>637</v>
      </c>
      <c r="B639" s="3" t="s">
        <v>1666</v>
      </c>
      <c r="C639" s="6" t="s">
        <v>1872</v>
      </c>
      <c r="D639" s="6" t="s">
        <v>1873</v>
      </c>
      <c r="E639" s="7" t="s">
        <v>1874</v>
      </c>
      <c r="F639" s="5"/>
      <c r="G639" s="5"/>
    </row>
    <row r="640" spans="1:7" ht="99" thickBot="1">
      <c r="A640" s="3">
        <v>638</v>
      </c>
      <c r="B640" s="3" t="s">
        <v>1666</v>
      </c>
      <c r="C640" s="6" t="s">
        <v>1875</v>
      </c>
      <c r="D640" s="6" t="s">
        <v>1876</v>
      </c>
      <c r="E640" s="7" t="s">
        <v>1877</v>
      </c>
      <c r="F640" s="5"/>
      <c r="G640" s="5"/>
    </row>
    <row r="641" spans="1:7" ht="99" thickBot="1">
      <c r="A641" s="3">
        <v>639</v>
      </c>
      <c r="B641" s="3" t="s">
        <v>1666</v>
      </c>
      <c r="C641" s="6" t="s">
        <v>1878</v>
      </c>
      <c r="D641" s="6" t="s">
        <v>1879</v>
      </c>
      <c r="E641" s="7" t="s">
        <v>1880</v>
      </c>
      <c r="F641" s="5"/>
      <c r="G641" s="5"/>
    </row>
    <row r="642" spans="1:7" ht="112.8" thickBot="1">
      <c r="A642" s="3">
        <v>640</v>
      </c>
      <c r="B642" s="3" t="s">
        <v>1666</v>
      </c>
      <c r="C642" s="6" t="s">
        <v>1881</v>
      </c>
      <c r="D642" s="6" t="s">
        <v>1882</v>
      </c>
      <c r="E642" s="7" t="s">
        <v>1883</v>
      </c>
      <c r="F642" s="5"/>
      <c r="G642" s="5"/>
    </row>
    <row r="643" spans="1:7" ht="99" thickBot="1">
      <c r="A643" s="3">
        <v>641</v>
      </c>
      <c r="B643" s="3" t="s">
        <v>1666</v>
      </c>
      <c r="C643" s="6" t="s">
        <v>1884</v>
      </c>
      <c r="D643" s="6" t="s">
        <v>1885</v>
      </c>
      <c r="E643" s="7" t="s">
        <v>1886</v>
      </c>
      <c r="F643" s="5"/>
      <c r="G643" s="5"/>
    </row>
    <row r="644" spans="1:7" ht="112.8" thickBot="1">
      <c r="A644" s="3">
        <v>642</v>
      </c>
      <c r="B644" s="3" t="s">
        <v>1666</v>
      </c>
      <c r="C644" s="6" t="s">
        <v>1887</v>
      </c>
      <c r="D644" s="6" t="s">
        <v>1888</v>
      </c>
      <c r="E644" s="7" t="s">
        <v>1889</v>
      </c>
      <c r="F644" s="5"/>
      <c r="G644" s="5"/>
    </row>
    <row r="645" spans="1:7" ht="99" thickBot="1">
      <c r="A645" s="3">
        <v>643</v>
      </c>
      <c r="B645" s="3" t="s">
        <v>1666</v>
      </c>
      <c r="C645" s="6" t="s">
        <v>1890</v>
      </c>
      <c r="D645" s="6" t="s">
        <v>1891</v>
      </c>
      <c r="E645" s="7" t="s">
        <v>1892</v>
      </c>
      <c r="F645" s="5"/>
      <c r="G645" s="5"/>
    </row>
    <row r="646" spans="1:7" ht="112.8" thickBot="1">
      <c r="A646" s="3">
        <v>644</v>
      </c>
      <c r="B646" s="3" t="s">
        <v>1666</v>
      </c>
      <c r="C646" s="6" t="s">
        <v>1893</v>
      </c>
      <c r="D646" s="6" t="s">
        <v>1894</v>
      </c>
      <c r="E646" s="7" t="s">
        <v>1895</v>
      </c>
      <c r="F646" s="5"/>
      <c r="G646" s="5"/>
    </row>
    <row r="647" spans="1:7" ht="99" thickBot="1">
      <c r="A647" s="3">
        <v>645</v>
      </c>
      <c r="B647" s="3" t="s">
        <v>1666</v>
      </c>
      <c r="C647" s="6" t="s">
        <v>1896</v>
      </c>
      <c r="D647" s="6" t="s">
        <v>1897</v>
      </c>
      <c r="E647" s="7" t="s">
        <v>1898</v>
      </c>
      <c r="F647" s="5"/>
      <c r="G647" s="5"/>
    </row>
    <row r="648" spans="1:7" ht="99" thickBot="1">
      <c r="A648" s="3">
        <v>646</v>
      </c>
      <c r="B648" s="3" t="s">
        <v>1666</v>
      </c>
      <c r="C648" s="6" t="s">
        <v>1899</v>
      </c>
      <c r="D648" s="6" t="s">
        <v>1900</v>
      </c>
      <c r="E648" s="7" t="s">
        <v>1901</v>
      </c>
      <c r="F648" s="5"/>
      <c r="G648" s="5"/>
    </row>
    <row r="649" spans="1:7" ht="126.6" thickBot="1">
      <c r="A649" s="3">
        <v>647</v>
      </c>
      <c r="B649" s="3" t="s">
        <v>1666</v>
      </c>
      <c r="C649" s="6" t="s">
        <v>1902</v>
      </c>
      <c r="D649" s="6" t="s">
        <v>1903</v>
      </c>
      <c r="E649" s="7" t="s">
        <v>1904</v>
      </c>
      <c r="F649" s="5"/>
      <c r="G649" s="5"/>
    </row>
    <row r="650" spans="1:7" ht="99" thickBot="1">
      <c r="A650" s="3">
        <v>648</v>
      </c>
      <c r="B650" s="3" t="s">
        <v>1666</v>
      </c>
      <c r="C650" s="6" t="s">
        <v>1905</v>
      </c>
      <c r="D650" s="6" t="s">
        <v>1906</v>
      </c>
      <c r="E650" s="7" t="s">
        <v>1907</v>
      </c>
      <c r="F650" s="5"/>
      <c r="G650" s="5"/>
    </row>
    <row r="651" spans="1:7" ht="99" thickBot="1">
      <c r="A651" s="3">
        <v>649</v>
      </c>
      <c r="B651" s="3" t="s">
        <v>1666</v>
      </c>
      <c r="C651" s="6" t="s">
        <v>1908</v>
      </c>
      <c r="D651" s="6" t="s">
        <v>1909</v>
      </c>
      <c r="E651" s="7" t="s">
        <v>1910</v>
      </c>
      <c r="F651" s="5"/>
      <c r="G651" s="5"/>
    </row>
    <row r="652" spans="1:7" ht="99" thickBot="1">
      <c r="A652" s="3">
        <v>650</v>
      </c>
      <c r="B652" s="3" t="s">
        <v>1666</v>
      </c>
      <c r="C652" s="6" t="s">
        <v>1911</v>
      </c>
      <c r="D652" s="6" t="s">
        <v>1912</v>
      </c>
      <c r="E652" s="7" t="s">
        <v>1913</v>
      </c>
      <c r="F652" s="5"/>
      <c r="G652" s="5"/>
    </row>
    <row r="653" spans="1:7" ht="112.8" thickBot="1">
      <c r="A653" s="3">
        <v>651</v>
      </c>
      <c r="B653" s="3" t="s">
        <v>1666</v>
      </c>
      <c r="C653" s="6" t="s">
        <v>1914</v>
      </c>
      <c r="D653" s="6" t="s">
        <v>1915</v>
      </c>
      <c r="E653" s="7" t="s">
        <v>1916</v>
      </c>
      <c r="F653" s="5"/>
      <c r="G653" s="5"/>
    </row>
    <row r="654" spans="1:7" ht="99" thickBot="1">
      <c r="A654" s="3">
        <v>652</v>
      </c>
      <c r="B654" s="3" t="s">
        <v>1666</v>
      </c>
      <c r="C654" s="6" t="s">
        <v>1917</v>
      </c>
      <c r="D654" s="6" t="s">
        <v>1918</v>
      </c>
      <c r="E654" s="7" t="s">
        <v>1919</v>
      </c>
      <c r="F654" s="5"/>
      <c r="G654" s="5"/>
    </row>
    <row r="655" spans="1:7" ht="126.6" thickBot="1">
      <c r="A655" s="3">
        <v>653</v>
      </c>
      <c r="B655" s="3" t="s">
        <v>1666</v>
      </c>
      <c r="C655" s="6" t="s">
        <v>1920</v>
      </c>
      <c r="D655" s="6" t="s">
        <v>1921</v>
      </c>
      <c r="E655" s="7" t="s">
        <v>1922</v>
      </c>
      <c r="F655" s="5"/>
      <c r="G655" s="5"/>
    </row>
    <row r="656" spans="1:7" ht="154.19999999999999" thickBot="1">
      <c r="A656" s="3">
        <v>654</v>
      </c>
      <c r="B656" s="3" t="s">
        <v>1666</v>
      </c>
      <c r="C656" s="6" t="s">
        <v>1923</v>
      </c>
      <c r="D656" s="6" t="s">
        <v>1924</v>
      </c>
      <c r="E656" s="7" t="s">
        <v>1925</v>
      </c>
      <c r="F656" s="5"/>
      <c r="G656" s="5"/>
    </row>
    <row r="657" spans="1:7" ht="112.8" thickBot="1">
      <c r="A657" s="3">
        <v>655</v>
      </c>
      <c r="B657" s="3" t="s">
        <v>1666</v>
      </c>
      <c r="C657" s="6" t="s">
        <v>1926</v>
      </c>
      <c r="D657" s="6" t="s">
        <v>1927</v>
      </c>
      <c r="E657" s="7" t="s">
        <v>1928</v>
      </c>
      <c r="F657" s="5"/>
      <c r="G657" s="5"/>
    </row>
    <row r="658" spans="1:7" ht="112.8" thickBot="1">
      <c r="A658" s="3">
        <v>656</v>
      </c>
      <c r="B658" s="3" t="s">
        <v>1666</v>
      </c>
      <c r="C658" s="6" t="s">
        <v>1929</v>
      </c>
      <c r="D658" s="6" t="s">
        <v>1930</v>
      </c>
      <c r="E658" s="7" t="s">
        <v>1931</v>
      </c>
      <c r="F658" s="5"/>
      <c r="G658" s="5"/>
    </row>
    <row r="659" spans="1:7" ht="99" thickBot="1">
      <c r="A659" s="3">
        <v>657</v>
      </c>
      <c r="B659" s="3" t="s">
        <v>1666</v>
      </c>
      <c r="C659" s="6" t="s">
        <v>1932</v>
      </c>
      <c r="D659" s="6" t="s">
        <v>1933</v>
      </c>
      <c r="E659" s="7" t="s">
        <v>1934</v>
      </c>
      <c r="F659" s="5"/>
      <c r="G659" s="5"/>
    </row>
    <row r="660" spans="1:7" ht="99" thickBot="1">
      <c r="A660" s="3">
        <v>658</v>
      </c>
      <c r="B660" s="3" t="s">
        <v>1666</v>
      </c>
      <c r="C660" s="6" t="s">
        <v>1935</v>
      </c>
      <c r="D660" s="6" t="s">
        <v>1936</v>
      </c>
      <c r="E660" s="7" t="s">
        <v>1937</v>
      </c>
      <c r="F660" s="5"/>
      <c r="G660" s="5"/>
    </row>
    <row r="661" spans="1:7" ht="99" thickBot="1">
      <c r="A661" s="3">
        <v>659</v>
      </c>
      <c r="B661" s="3" t="s">
        <v>1666</v>
      </c>
      <c r="C661" s="6" t="s">
        <v>1938</v>
      </c>
      <c r="D661" s="6" t="s">
        <v>1939</v>
      </c>
      <c r="E661" s="7" t="s">
        <v>1940</v>
      </c>
      <c r="F661" s="5"/>
      <c r="G661" s="5"/>
    </row>
    <row r="662" spans="1:7" ht="112.8" thickBot="1">
      <c r="A662" s="3">
        <v>660</v>
      </c>
      <c r="B662" s="3" t="s">
        <v>1666</v>
      </c>
      <c r="C662" s="6" t="s">
        <v>1941</v>
      </c>
      <c r="D662" s="6" t="s">
        <v>1942</v>
      </c>
      <c r="E662" s="7" t="s">
        <v>1943</v>
      </c>
      <c r="F662" s="5"/>
      <c r="G662" s="5"/>
    </row>
    <row r="663" spans="1:7" ht="99" thickBot="1">
      <c r="A663" s="3">
        <v>661</v>
      </c>
      <c r="B663" s="3" t="s">
        <v>1666</v>
      </c>
      <c r="C663" s="6" t="s">
        <v>1944</v>
      </c>
      <c r="D663" s="6" t="s">
        <v>1945</v>
      </c>
      <c r="E663" s="7" t="s">
        <v>1946</v>
      </c>
      <c r="F663" s="5"/>
      <c r="G663" s="5"/>
    </row>
    <row r="664" spans="1:7" ht="99" thickBot="1">
      <c r="A664" s="3">
        <v>662</v>
      </c>
      <c r="B664" s="3" t="s">
        <v>1666</v>
      </c>
      <c r="C664" s="6" t="s">
        <v>1947</v>
      </c>
      <c r="D664" s="6" t="s">
        <v>1948</v>
      </c>
      <c r="E664" s="7" t="s">
        <v>1949</v>
      </c>
      <c r="F664" s="5"/>
      <c r="G664" s="5"/>
    </row>
    <row r="665" spans="1:7" ht="112.8" thickBot="1">
      <c r="A665" s="3">
        <v>663</v>
      </c>
      <c r="B665" s="3" t="s">
        <v>1666</v>
      </c>
      <c r="C665" s="6" t="s">
        <v>1950</v>
      </c>
      <c r="D665" s="6" t="s">
        <v>1951</v>
      </c>
      <c r="E665" s="7" t="s">
        <v>1952</v>
      </c>
      <c r="F665" s="5"/>
      <c r="G665" s="5"/>
    </row>
    <row r="666" spans="1:7" ht="99" thickBot="1">
      <c r="A666" s="3">
        <v>664</v>
      </c>
      <c r="B666" s="3" t="s">
        <v>1666</v>
      </c>
      <c r="C666" s="6" t="s">
        <v>1953</v>
      </c>
      <c r="D666" s="6" t="s">
        <v>1954</v>
      </c>
      <c r="E666" s="7" t="s">
        <v>1955</v>
      </c>
      <c r="F666" s="5"/>
      <c r="G666" s="5"/>
    </row>
    <row r="667" spans="1:7" ht="112.8" thickBot="1">
      <c r="A667" s="3">
        <v>665</v>
      </c>
      <c r="B667" s="3" t="s">
        <v>1666</v>
      </c>
      <c r="C667" s="6" t="s">
        <v>1956</v>
      </c>
      <c r="D667" s="6" t="s">
        <v>1957</v>
      </c>
      <c r="E667" s="7" t="s">
        <v>1958</v>
      </c>
      <c r="F667" s="5"/>
      <c r="G667" s="5"/>
    </row>
    <row r="668" spans="1:7" ht="112.8" thickBot="1">
      <c r="A668" s="3">
        <v>666</v>
      </c>
      <c r="B668" s="3" t="s">
        <v>1666</v>
      </c>
      <c r="C668" s="6" t="s">
        <v>1959</v>
      </c>
      <c r="D668" s="6" t="s">
        <v>1960</v>
      </c>
      <c r="E668" s="7" t="s">
        <v>1961</v>
      </c>
      <c r="F668" s="5"/>
      <c r="G668" s="5"/>
    </row>
    <row r="669" spans="1:7" ht="99" thickBot="1">
      <c r="A669" s="3">
        <v>667</v>
      </c>
      <c r="B669" s="3" t="s">
        <v>1666</v>
      </c>
      <c r="C669" s="6" t="s">
        <v>1962</v>
      </c>
      <c r="D669" s="6" t="s">
        <v>1963</v>
      </c>
      <c r="E669" s="7" t="s">
        <v>1964</v>
      </c>
      <c r="F669" s="5"/>
      <c r="G669" s="5"/>
    </row>
    <row r="670" spans="1:7" ht="99" thickBot="1">
      <c r="A670" s="3">
        <v>668</v>
      </c>
      <c r="B670" s="3" t="s">
        <v>1666</v>
      </c>
      <c r="C670" s="6" t="s">
        <v>1965</v>
      </c>
      <c r="D670" s="6" t="s">
        <v>1966</v>
      </c>
      <c r="E670" s="7" t="s">
        <v>1967</v>
      </c>
      <c r="F670" s="5"/>
      <c r="G670" s="5"/>
    </row>
    <row r="671" spans="1:7" ht="99" thickBot="1">
      <c r="A671" s="3">
        <v>669</v>
      </c>
      <c r="B671" s="3" t="s">
        <v>1666</v>
      </c>
      <c r="C671" s="6" t="s">
        <v>1968</v>
      </c>
      <c r="D671" s="6" t="s">
        <v>1969</v>
      </c>
      <c r="E671" s="7" t="s">
        <v>1970</v>
      </c>
      <c r="F671" s="5"/>
      <c r="G671" s="5"/>
    </row>
    <row r="672" spans="1:7" ht="99" thickBot="1">
      <c r="A672" s="3">
        <v>670</v>
      </c>
      <c r="B672" s="3" t="s">
        <v>1666</v>
      </c>
      <c r="C672" s="6" t="s">
        <v>1971</v>
      </c>
      <c r="D672" s="6" t="s">
        <v>1972</v>
      </c>
      <c r="E672" s="7" t="s">
        <v>1973</v>
      </c>
      <c r="F672" s="5"/>
      <c r="G672" s="5"/>
    </row>
    <row r="673" spans="1:7" ht="99" thickBot="1">
      <c r="A673" s="3">
        <v>671</v>
      </c>
      <c r="B673" s="3" t="s">
        <v>1666</v>
      </c>
      <c r="C673" s="6" t="s">
        <v>1974</v>
      </c>
      <c r="D673" s="6" t="s">
        <v>1975</v>
      </c>
      <c r="E673" s="7" t="s">
        <v>1976</v>
      </c>
      <c r="F673" s="5"/>
      <c r="G673" s="5"/>
    </row>
    <row r="674" spans="1:7" ht="112.8" thickBot="1">
      <c r="A674" s="3">
        <v>672</v>
      </c>
      <c r="B674" s="3" t="s">
        <v>1666</v>
      </c>
      <c r="C674" s="6" t="s">
        <v>1977</v>
      </c>
      <c r="D674" s="6" t="s">
        <v>1978</v>
      </c>
      <c r="E674" s="7" t="s">
        <v>1979</v>
      </c>
      <c r="F674" s="5"/>
      <c r="G674" s="5"/>
    </row>
    <row r="675" spans="1:7" ht="99" thickBot="1">
      <c r="A675" s="3">
        <v>673</v>
      </c>
      <c r="B675" s="3" t="s">
        <v>1666</v>
      </c>
      <c r="C675" s="6" t="s">
        <v>1980</v>
      </c>
      <c r="D675" s="6" t="s">
        <v>1981</v>
      </c>
      <c r="E675" s="7" t="s">
        <v>1982</v>
      </c>
      <c r="F675" s="5"/>
      <c r="G675" s="5"/>
    </row>
    <row r="676" spans="1:7" ht="126.6" thickBot="1">
      <c r="A676" s="3">
        <v>674</v>
      </c>
      <c r="B676" s="3" t="s">
        <v>1666</v>
      </c>
      <c r="C676" s="6" t="s">
        <v>1983</v>
      </c>
      <c r="D676" s="6" t="s">
        <v>1984</v>
      </c>
      <c r="E676" s="7" t="s">
        <v>1985</v>
      </c>
      <c r="F676" s="5"/>
      <c r="G676" s="5"/>
    </row>
    <row r="677" spans="1:7" ht="112.8" thickBot="1">
      <c r="A677" s="3">
        <v>675</v>
      </c>
      <c r="B677" s="3" t="s">
        <v>1666</v>
      </c>
      <c r="C677" s="6" t="s">
        <v>1986</v>
      </c>
      <c r="D677" s="6" t="s">
        <v>1987</v>
      </c>
      <c r="E677" s="7" t="s">
        <v>1988</v>
      </c>
      <c r="F677" s="5"/>
      <c r="G677" s="5"/>
    </row>
    <row r="678" spans="1:7" ht="99" thickBot="1">
      <c r="A678" s="3">
        <v>676</v>
      </c>
      <c r="B678" s="3" t="s">
        <v>1666</v>
      </c>
      <c r="C678" s="6" t="s">
        <v>1989</v>
      </c>
      <c r="D678" s="6" t="s">
        <v>1990</v>
      </c>
      <c r="E678" s="7" t="s">
        <v>1991</v>
      </c>
      <c r="F678" s="5"/>
      <c r="G678" s="5"/>
    </row>
    <row r="679" spans="1:7" ht="126.6" thickBot="1">
      <c r="A679" s="3">
        <v>677</v>
      </c>
      <c r="B679" s="3" t="s">
        <v>1666</v>
      </c>
      <c r="C679" s="6" t="s">
        <v>1992</v>
      </c>
      <c r="D679" s="6" t="s">
        <v>1993</v>
      </c>
      <c r="E679" s="7" t="s">
        <v>1994</v>
      </c>
      <c r="F679" s="5"/>
      <c r="G679" s="5"/>
    </row>
    <row r="680" spans="1:7" ht="112.8" thickBot="1">
      <c r="A680" s="3">
        <v>678</v>
      </c>
      <c r="B680" s="3" t="s">
        <v>1666</v>
      </c>
      <c r="C680" s="6" t="s">
        <v>1995</v>
      </c>
      <c r="D680" s="6" t="s">
        <v>1996</v>
      </c>
      <c r="E680" s="7" t="s">
        <v>1997</v>
      </c>
      <c r="F680" s="5"/>
      <c r="G680" s="5"/>
    </row>
    <row r="681" spans="1:7" ht="99" thickBot="1">
      <c r="A681" s="3">
        <v>679</v>
      </c>
      <c r="B681" s="3" t="s">
        <v>1666</v>
      </c>
      <c r="C681" s="6" t="s">
        <v>1998</v>
      </c>
      <c r="D681" s="6" t="s">
        <v>1867</v>
      </c>
      <c r="E681" s="7" t="s">
        <v>1999</v>
      </c>
      <c r="F681" s="5"/>
      <c r="G681" s="5"/>
    </row>
    <row r="682" spans="1:7" ht="99" thickBot="1">
      <c r="A682" s="3">
        <v>680</v>
      </c>
      <c r="B682" s="3" t="s">
        <v>1666</v>
      </c>
      <c r="C682" s="6" t="s">
        <v>2000</v>
      </c>
      <c r="D682" s="6" t="s">
        <v>2001</v>
      </c>
      <c r="E682" s="7" t="s">
        <v>2002</v>
      </c>
      <c r="F682" s="5"/>
      <c r="G682" s="5"/>
    </row>
    <row r="683" spans="1:7" ht="99" thickBot="1">
      <c r="A683" s="3">
        <v>681</v>
      </c>
      <c r="B683" s="3" t="s">
        <v>1666</v>
      </c>
      <c r="C683" s="6" t="s">
        <v>2003</v>
      </c>
      <c r="D683" s="6" t="s">
        <v>2004</v>
      </c>
      <c r="E683" s="7" t="s">
        <v>2005</v>
      </c>
      <c r="F683" s="5"/>
      <c r="G683" s="5"/>
    </row>
    <row r="684" spans="1:7" ht="112.8" thickBot="1">
      <c r="A684" s="3">
        <v>682</v>
      </c>
      <c r="B684" s="3" t="s">
        <v>1666</v>
      </c>
      <c r="C684" s="6" t="s">
        <v>2006</v>
      </c>
      <c r="D684" s="6" t="s">
        <v>2007</v>
      </c>
      <c r="E684" s="7" t="s">
        <v>2008</v>
      </c>
      <c r="F684" s="5"/>
      <c r="G684" s="5"/>
    </row>
    <row r="685" spans="1:7" ht="140.4" thickBot="1">
      <c r="A685" s="3">
        <v>683</v>
      </c>
      <c r="B685" s="3" t="s">
        <v>1666</v>
      </c>
      <c r="C685" s="6" t="s">
        <v>2009</v>
      </c>
      <c r="D685" s="6" t="s">
        <v>2010</v>
      </c>
      <c r="E685" s="7" t="s">
        <v>2011</v>
      </c>
      <c r="F685" s="5"/>
      <c r="G685" s="5"/>
    </row>
    <row r="686" spans="1:7" ht="99" thickBot="1">
      <c r="A686" s="3">
        <v>684</v>
      </c>
      <c r="B686" s="3" t="s">
        <v>1666</v>
      </c>
      <c r="C686" s="6" t="s">
        <v>2012</v>
      </c>
      <c r="D686" s="6" t="s">
        <v>2013</v>
      </c>
      <c r="E686" s="7" t="s">
        <v>466</v>
      </c>
      <c r="F686" s="5"/>
      <c r="G686" s="5"/>
    </row>
    <row r="687" spans="1:7" ht="99" thickBot="1">
      <c r="A687" s="3">
        <v>685</v>
      </c>
      <c r="B687" s="3" t="s">
        <v>1666</v>
      </c>
      <c r="C687" s="6" t="s">
        <v>2014</v>
      </c>
      <c r="D687" s="6" t="s">
        <v>2015</v>
      </c>
      <c r="E687" s="7" t="s">
        <v>2016</v>
      </c>
      <c r="F687" s="5"/>
      <c r="G687" s="5"/>
    </row>
    <row r="688" spans="1:7" ht="99" thickBot="1">
      <c r="A688" s="3">
        <v>686</v>
      </c>
      <c r="B688" s="3" t="s">
        <v>1666</v>
      </c>
      <c r="C688" s="6" t="s">
        <v>2017</v>
      </c>
      <c r="D688" s="6" t="s">
        <v>2018</v>
      </c>
      <c r="E688" s="7" t="s">
        <v>2019</v>
      </c>
      <c r="F688" s="5"/>
      <c r="G688" s="5"/>
    </row>
    <row r="689" spans="1:7" ht="99" thickBot="1">
      <c r="A689" s="3">
        <v>687</v>
      </c>
      <c r="B689" s="3" t="s">
        <v>1666</v>
      </c>
      <c r="C689" s="6" t="s">
        <v>2020</v>
      </c>
      <c r="D689" s="6" t="s">
        <v>2021</v>
      </c>
      <c r="E689" s="7" t="s">
        <v>2022</v>
      </c>
      <c r="F689" s="5"/>
      <c r="G689" s="5"/>
    </row>
    <row r="690" spans="1:7" ht="112.8" thickBot="1">
      <c r="A690" s="3">
        <v>688</v>
      </c>
      <c r="B690" s="3" t="s">
        <v>1666</v>
      </c>
      <c r="C690" s="6" t="s">
        <v>2023</v>
      </c>
      <c r="D690" s="6" t="s">
        <v>2024</v>
      </c>
      <c r="E690" s="7" t="s">
        <v>2025</v>
      </c>
      <c r="F690" s="5"/>
      <c r="G690" s="5"/>
    </row>
    <row r="691" spans="1:7" ht="112.8" thickBot="1">
      <c r="A691" s="3">
        <v>689</v>
      </c>
      <c r="B691" s="3" t="s">
        <v>1666</v>
      </c>
      <c r="C691" s="6" t="s">
        <v>2026</v>
      </c>
      <c r="D691" s="6" t="s">
        <v>2027</v>
      </c>
      <c r="E691" s="7" t="s">
        <v>2028</v>
      </c>
      <c r="F691" s="5"/>
      <c r="G691" s="5"/>
    </row>
    <row r="692" spans="1:7" ht="99" thickBot="1">
      <c r="A692" s="3">
        <v>690</v>
      </c>
      <c r="B692" s="3" t="s">
        <v>1666</v>
      </c>
      <c r="C692" s="6" t="s">
        <v>2029</v>
      </c>
      <c r="D692" s="6" t="s">
        <v>2030</v>
      </c>
      <c r="E692" s="7" t="s">
        <v>2031</v>
      </c>
      <c r="F692" s="5"/>
      <c r="G692" s="5"/>
    </row>
    <row r="693" spans="1:7" ht="112.8" thickBot="1">
      <c r="A693" s="3">
        <v>691</v>
      </c>
      <c r="B693" s="3" t="s">
        <v>1666</v>
      </c>
      <c r="C693" s="6" t="s">
        <v>2032</v>
      </c>
      <c r="D693" s="6" t="s">
        <v>2033</v>
      </c>
      <c r="E693" s="7" t="s">
        <v>2034</v>
      </c>
      <c r="F693" s="5"/>
      <c r="G693" s="5"/>
    </row>
    <row r="694" spans="1:7" ht="99" thickBot="1">
      <c r="A694" s="3">
        <v>692</v>
      </c>
      <c r="B694" s="3" t="s">
        <v>1666</v>
      </c>
      <c r="C694" s="6" t="s">
        <v>2035</v>
      </c>
      <c r="D694" s="6" t="s">
        <v>2036</v>
      </c>
      <c r="E694" s="7" t="s">
        <v>2037</v>
      </c>
      <c r="F694" s="5"/>
      <c r="G694" s="5"/>
    </row>
    <row r="695" spans="1:7" ht="99" thickBot="1">
      <c r="A695" s="3">
        <v>693</v>
      </c>
      <c r="B695" s="3" t="s">
        <v>1666</v>
      </c>
      <c r="C695" s="6" t="s">
        <v>2038</v>
      </c>
      <c r="D695" s="6" t="s">
        <v>2039</v>
      </c>
      <c r="E695" s="7" t="s">
        <v>2040</v>
      </c>
      <c r="F695" s="5"/>
      <c r="G695" s="5"/>
    </row>
    <row r="696" spans="1:7" ht="112.8" thickBot="1">
      <c r="A696" s="3">
        <v>694</v>
      </c>
      <c r="B696" s="3" t="s">
        <v>1666</v>
      </c>
      <c r="C696" s="6" t="s">
        <v>2041</v>
      </c>
      <c r="D696" s="6" t="s">
        <v>2042</v>
      </c>
      <c r="E696" s="7" t="s">
        <v>2043</v>
      </c>
      <c r="F696" s="5"/>
      <c r="G696" s="5"/>
    </row>
    <row r="697" spans="1:7" ht="112.8" thickBot="1">
      <c r="A697" s="3">
        <v>695</v>
      </c>
      <c r="B697" s="3" t="s">
        <v>1666</v>
      </c>
      <c r="C697" s="6" t="s">
        <v>2044</v>
      </c>
      <c r="D697" s="6" t="s">
        <v>2045</v>
      </c>
      <c r="E697" s="7" t="s">
        <v>2046</v>
      </c>
      <c r="F697" s="5"/>
      <c r="G697" s="5"/>
    </row>
    <row r="698" spans="1:7" ht="99" thickBot="1">
      <c r="A698" s="3">
        <v>696</v>
      </c>
      <c r="B698" s="3" t="s">
        <v>1666</v>
      </c>
      <c r="C698" s="6" t="s">
        <v>2047</v>
      </c>
      <c r="D698" s="6" t="s">
        <v>2048</v>
      </c>
      <c r="E698" s="7" t="s">
        <v>2049</v>
      </c>
      <c r="F698" s="5"/>
      <c r="G698" s="5"/>
    </row>
    <row r="699" spans="1:7" ht="99" thickBot="1">
      <c r="A699" s="3">
        <v>697</v>
      </c>
      <c r="B699" s="3" t="s">
        <v>1666</v>
      </c>
      <c r="C699" s="6" t="s">
        <v>2050</v>
      </c>
      <c r="D699" s="6" t="s">
        <v>2051</v>
      </c>
      <c r="E699" s="7" t="s">
        <v>2052</v>
      </c>
      <c r="F699" s="5"/>
      <c r="G699" s="5"/>
    </row>
    <row r="700" spans="1:7" ht="99" thickBot="1">
      <c r="A700" s="3">
        <v>698</v>
      </c>
      <c r="B700" s="3" t="s">
        <v>1666</v>
      </c>
      <c r="C700" s="6" t="s">
        <v>2053</v>
      </c>
      <c r="D700" s="6" t="s">
        <v>2054</v>
      </c>
      <c r="E700" s="7" t="s">
        <v>2055</v>
      </c>
      <c r="F700" s="5"/>
      <c r="G700" s="5"/>
    </row>
    <row r="701" spans="1:7" ht="99" thickBot="1">
      <c r="A701" s="3">
        <v>699</v>
      </c>
      <c r="B701" s="3" t="s">
        <v>1666</v>
      </c>
      <c r="C701" s="6" t="s">
        <v>2056</v>
      </c>
      <c r="D701" s="6" t="s">
        <v>2057</v>
      </c>
      <c r="E701" s="7" t="s">
        <v>2058</v>
      </c>
      <c r="F701" s="5"/>
      <c r="G701" s="5"/>
    </row>
    <row r="702" spans="1:7" ht="99" thickBot="1">
      <c r="A702" s="3">
        <v>700</v>
      </c>
      <c r="B702" s="3" t="s">
        <v>1666</v>
      </c>
      <c r="C702" s="6" t="s">
        <v>2059</v>
      </c>
      <c r="D702" s="6" t="s">
        <v>2060</v>
      </c>
      <c r="E702" s="7" t="s">
        <v>2061</v>
      </c>
      <c r="F702" s="5"/>
      <c r="G702" s="5"/>
    </row>
    <row r="703" spans="1:7" ht="112.8" thickBot="1">
      <c r="A703" s="3">
        <v>701</v>
      </c>
      <c r="B703" s="3" t="s">
        <v>1666</v>
      </c>
      <c r="C703" s="6" t="s">
        <v>2062</v>
      </c>
      <c r="D703" s="6" t="s">
        <v>2063</v>
      </c>
      <c r="E703" s="7" t="s">
        <v>2064</v>
      </c>
      <c r="F703" s="5"/>
      <c r="G703" s="5"/>
    </row>
    <row r="704" spans="1:7" ht="126.6" thickBot="1">
      <c r="A704" s="3">
        <v>702</v>
      </c>
      <c r="B704" s="3" t="s">
        <v>1666</v>
      </c>
      <c r="C704" s="6" t="s">
        <v>2065</v>
      </c>
      <c r="D704" s="6" t="s">
        <v>2066</v>
      </c>
      <c r="E704" s="7" t="s">
        <v>2067</v>
      </c>
      <c r="F704" s="5"/>
      <c r="G704" s="5"/>
    </row>
    <row r="705" spans="1:7" ht="99" thickBot="1">
      <c r="A705" s="3">
        <v>703</v>
      </c>
      <c r="B705" s="3" t="s">
        <v>1666</v>
      </c>
      <c r="C705" s="6" t="s">
        <v>2068</v>
      </c>
      <c r="D705" s="6" t="s">
        <v>2069</v>
      </c>
      <c r="E705" s="7" t="s">
        <v>2070</v>
      </c>
      <c r="F705" s="5"/>
      <c r="G705" s="5"/>
    </row>
    <row r="706" spans="1:7" ht="99" thickBot="1">
      <c r="A706" s="3">
        <v>704</v>
      </c>
      <c r="B706" s="3" t="s">
        <v>1666</v>
      </c>
      <c r="C706" s="6" t="s">
        <v>2071</v>
      </c>
      <c r="D706" s="6" t="s">
        <v>2072</v>
      </c>
      <c r="E706" s="7" t="s">
        <v>2073</v>
      </c>
      <c r="F706" s="5"/>
      <c r="G706" s="5"/>
    </row>
    <row r="707" spans="1:7" ht="99" thickBot="1">
      <c r="A707" s="3">
        <v>705</v>
      </c>
      <c r="B707" s="3" t="s">
        <v>1666</v>
      </c>
      <c r="C707" s="6" t="s">
        <v>2074</v>
      </c>
      <c r="D707" s="6" t="s">
        <v>2021</v>
      </c>
      <c r="E707" s="7" t="s">
        <v>2075</v>
      </c>
      <c r="F707" s="5"/>
      <c r="G707" s="5"/>
    </row>
    <row r="708" spans="1:7" ht="112.8" thickBot="1">
      <c r="A708" s="3">
        <v>706</v>
      </c>
      <c r="B708" s="3" t="s">
        <v>1666</v>
      </c>
      <c r="C708" s="6" t="s">
        <v>2076</v>
      </c>
      <c r="D708" s="6" t="s">
        <v>2077</v>
      </c>
      <c r="E708" s="7" t="s">
        <v>2078</v>
      </c>
      <c r="F708" s="5"/>
      <c r="G708" s="5"/>
    </row>
    <row r="709" spans="1:7" ht="112.8" thickBot="1">
      <c r="A709" s="3">
        <v>707</v>
      </c>
      <c r="B709" s="3" t="s">
        <v>1666</v>
      </c>
      <c r="C709" s="6" t="s">
        <v>2079</v>
      </c>
      <c r="D709" s="6" t="s">
        <v>2080</v>
      </c>
      <c r="E709" s="7" t="s">
        <v>2081</v>
      </c>
      <c r="F709" s="5"/>
      <c r="G709" s="5"/>
    </row>
    <row r="710" spans="1:7" ht="99" thickBot="1">
      <c r="A710" s="3">
        <v>708</v>
      </c>
      <c r="B710" s="3" t="s">
        <v>1666</v>
      </c>
      <c r="C710" s="6" t="s">
        <v>2082</v>
      </c>
      <c r="D710" s="6" t="s">
        <v>2083</v>
      </c>
      <c r="E710" s="7" t="s">
        <v>2084</v>
      </c>
      <c r="F710" s="5"/>
      <c r="G710" s="5"/>
    </row>
    <row r="711" spans="1:7" ht="99" thickBot="1">
      <c r="A711" s="3">
        <v>709</v>
      </c>
      <c r="B711" s="3" t="s">
        <v>1666</v>
      </c>
      <c r="C711" s="6" t="s">
        <v>2085</v>
      </c>
      <c r="D711" s="6" t="s">
        <v>2086</v>
      </c>
      <c r="E711" s="7" t="s">
        <v>2087</v>
      </c>
      <c r="F711" s="5"/>
      <c r="G711" s="5"/>
    </row>
    <row r="712" spans="1:7" ht="99" thickBot="1">
      <c r="A712" s="3">
        <v>710</v>
      </c>
      <c r="B712" s="3" t="s">
        <v>1666</v>
      </c>
      <c r="C712" s="6" t="s">
        <v>2088</v>
      </c>
      <c r="D712" s="6" t="s">
        <v>2089</v>
      </c>
      <c r="E712" s="7" t="s">
        <v>2090</v>
      </c>
      <c r="F712" s="5"/>
      <c r="G712" s="5"/>
    </row>
    <row r="713" spans="1:7" ht="99" thickBot="1">
      <c r="A713" s="3">
        <v>711</v>
      </c>
      <c r="B713" s="3" t="s">
        <v>1666</v>
      </c>
      <c r="C713" s="6" t="s">
        <v>2091</v>
      </c>
      <c r="D713" s="6" t="s">
        <v>2092</v>
      </c>
      <c r="E713" s="7" t="s">
        <v>2093</v>
      </c>
      <c r="F713" s="5"/>
      <c r="G713" s="5"/>
    </row>
    <row r="714" spans="1:7" ht="99" thickBot="1">
      <c r="A714" s="3">
        <v>712</v>
      </c>
      <c r="B714" s="3" t="s">
        <v>1666</v>
      </c>
      <c r="C714" s="6" t="s">
        <v>2094</v>
      </c>
      <c r="D714" s="6" t="s">
        <v>2095</v>
      </c>
      <c r="E714" s="7" t="s">
        <v>2096</v>
      </c>
      <c r="F714" s="5"/>
      <c r="G714" s="5"/>
    </row>
    <row r="715" spans="1:7" ht="112.8" thickBot="1">
      <c r="A715" s="3">
        <v>713</v>
      </c>
      <c r="B715" s="3" t="s">
        <v>1666</v>
      </c>
      <c r="C715" s="6" t="s">
        <v>2097</v>
      </c>
      <c r="D715" s="6" t="s">
        <v>2098</v>
      </c>
      <c r="E715" s="7" t="s">
        <v>2099</v>
      </c>
      <c r="F715" s="5"/>
      <c r="G715" s="5"/>
    </row>
    <row r="716" spans="1:7" ht="112.8" thickBot="1">
      <c r="A716" s="3">
        <v>714</v>
      </c>
      <c r="B716" s="3" t="s">
        <v>1666</v>
      </c>
      <c r="C716" s="6" t="s">
        <v>2100</v>
      </c>
      <c r="D716" s="6" t="s">
        <v>2101</v>
      </c>
      <c r="E716" s="7" t="s">
        <v>2102</v>
      </c>
      <c r="F716" s="5"/>
      <c r="G716" s="5"/>
    </row>
    <row r="717" spans="1:7" ht="99" thickBot="1">
      <c r="A717" s="3">
        <v>715</v>
      </c>
      <c r="B717" s="3" t="s">
        <v>1666</v>
      </c>
      <c r="C717" s="6" t="s">
        <v>2103</v>
      </c>
      <c r="D717" s="6" t="s">
        <v>2104</v>
      </c>
      <c r="E717" s="7" t="s">
        <v>2105</v>
      </c>
      <c r="F717" s="5"/>
      <c r="G717" s="5"/>
    </row>
    <row r="718" spans="1:7" ht="140.4" thickBot="1">
      <c r="A718" s="3">
        <v>716</v>
      </c>
      <c r="B718" s="3" t="s">
        <v>1666</v>
      </c>
      <c r="C718" s="6" t="s">
        <v>2106</v>
      </c>
      <c r="D718" s="6" t="s">
        <v>2107</v>
      </c>
      <c r="E718" s="7" t="s">
        <v>2108</v>
      </c>
      <c r="F718" s="5"/>
      <c r="G718" s="5"/>
    </row>
    <row r="719" spans="1:7" ht="99" thickBot="1">
      <c r="A719" s="3">
        <v>717</v>
      </c>
      <c r="B719" s="3" t="s">
        <v>1666</v>
      </c>
      <c r="C719" s="6" t="s">
        <v>2109</v>
      </c>
      <c r="D719" s="6" t="s">
        <v>2110</v>
      </c>
      <c r="E719" s="7" t="s">
        <v>2111</v>
      </c>
      <c r="F719" s="5"/>
      <c r="G719" s="5"/>
    </row>
    <row r="720" spans="1:7" ht="112.8" thickBot="1">
      <c r="A720" s="3">
        <v>718</v>
      </c>
      <c r="B720" s="3" t="s">
        <v>1666</v>
      </c>
      <c r="C720" s="6" t="s">
        <v>2112</v>
      </c>
      <c r="D720" s="6" t="s">
        <v>2113</v>
      </c>
      <c r="E720" s="7" t="s">
        <v>2114</v>
      </c>
      <c r="F720" s="5"/>
      <c r="G720" s="5"/>
    </row>
    <row r="721" spans="1:7" ht="99" thickBot="1">
      <c r="A721" s="3">
        <v>719</v>
      </c>
      <c r="B721" s="3" t="s">
        <v>1666</v>
      </c>
      <c r="C721" s="6" t="s">
        <v>2115</v>
      </c>
      <c r="D721" s="6" t="s">
        <v>2116</v>
      </c>
      <c r="E721" s="7" t="s">
        <v>2117</v>
      </c>
      <c r="F721" s="5"/>
      <c r="G721" s="5"/>
    </row>
    <row r="722" spans="1:7" ht="112.8" thickBot="1">
      <c r="A722" s="3">
        <v>720</v>
      </c>
      <c r="B722" s="3" t="s">
        <v>1666</v>
      </c>
      <c r="C722" s="6" t="s">
        <v>2118</v>
      </c>
      <c r="D722" s="6" t="s">
        <v>2119</v>
      </c>
      <c r="E722" s="7" t="s">
        <v>2120</v>
      </c>
      <c r="F722" s="5"/>
      <c r="G722" s="5"/>
    </row>
    <row r="723" spans="1:7" ht="99" thickBot="1">
      <c r="A723" s="3">
        <v>721</v>
      </c>
      <c r="B723" s="3" t="s">
        <v>1666</v>
      </c>
      <c r="C723" s="6" t="s">
        <v>2121</v>
      </c>
      <c r="D723" s="6" t="s">
        <v>2122</v>
      </c>
      <c r="E723" s="7" t="s">
        <v>2123</v>
      </c>
      <c r="F723" s="5"/>
      <c r="G723" s="5"/>
    </row>
    <row r="724" spans="1:7" ht="99" thickBot="1">
      <c r="A724" s="3">
        <v>722</v>
      </c>
      <c r="B724" s="3" t="s">
        <v>1666</v>
      </c>
      <c r="C724" s="6" t="s">
        <v>2124</v>
      </c>
      <c r="D724" s="6" t="s">
        <v>2125</v>
      </c>
      <c r="E724" s="7" t="s">
        <v>2126</v>
      </c>
      <c r="F724" s="5"/>
      <c r="G724" s="5"/>
    </row>
    <row r="725" spans="1:7" ht="112.8" thickBot="1">
      <c r="A725" s="3">
        <v>723</v>
      </c>
      <c r="B725" s="3" t="s">
        <v>1666</v>
      </c>
      <c r="C725" s="6" t="s">
        <v>2127</v>
      </c>
      <c r="D725" s="6" t="s">
        <v>2128</v>
      </c>
      <c r="E725" s="7" t="s">
        <v>2129</v>
      </c>
      <c r="F725" s="5"/>
      <c r="G725" s="5"/>
    </row>
    <row r="726" spans="1:7" ht="99" thickBot="1">
      <c r="A726" s="3">
        <v>724</v>
      </c>
      <c r="B726" s="3" t="s">
        <v>1666</v>
      </c>
      <c r="C726" s="6" t="s">
        <v>2130</v>
      </c>
      <c r="D726" s="6" t="s">
        <v>2131</v>
      </c>
      <c r="E726" s="7" t="s">
        <v>2132</v>
      </c>
      <c r="F726" s="5"/>
      <c r="G726" s="5"/>
    </row>
    <row r="727" spans="1:7" ht="112.8" thickBot="1">
      <c r="A727" s="3">
        <v>725</v>
      </c>
      <c r="B727" s="3" t="s">
        <v>1666</v>
      </c>
      <c r="C727" s="6" t="s">
        <v>2133</v>
      </c>
      <c r="D727" s="6" t="s">
        <v>2134</v>
      </c>
      <c r="E727" s="7" t="s">
        <v>2135</v>
      </c>
      <c r="F727" s="5"/>
      <c r="G727" s="5"/>
    </row>
    <row r="728" spans="1:7" ht="126.6" thickBot="1">
      <c r="A728" s="3">
        <v>726</v>
      </c>
      <c r="B728" s="3" t="s">
        <v>1666</v>
      </c>
      <c r="C728" s="6" t="s">
        <v>2136</v>
      </c>
      <c r="D728" s="6" t="s">
        <v>2137</v>
      </c>
      <c r="E728" s="7" t="s">
        <v>283</v>
      </c>
      <c r="F728" s="5"/>
      <c r="G728" s="5"/>
    </row>
    <row r="729" spans="1:7" ht="99" thickBot="1">
      <c r="A729" s="3">
        <v>727</v>
      </c>
      <c r="B729" s="3" t="s">
        <v>1666</v>
      </c>
      <c r="C729" s="6" t="s">
        <v>2138</v>
      </c>
      <c r="D729" s="6" t="s">
        <v>2139</v>
      </c>
      <c r="E729" s="7" t="s">
        <v>2140</v>
      </c>
      <c r="F729" s="5"/>
      <c r="G729" s="5"/>
    </row>
    <row r="730" spans="1:7" ht="99" thickBot="1">
      <c r="A730" s="3">
        <v>728</v>
      </c>
      <c r="B730" s="3" t="s">
        <v>1666</v>
      </c>
      <c r="C730" s="6" t="s">
        <v>2141</v>
      </c>
      <c r="D730" s="6" t="s">
        <v>2142</v>
      </c>
      <c r="E730" s="7" t="s">
        <v>2143</v>
      </c>
      <c r="F730" s="5"/>
      <c r="G730" s="5"/>
    </row>
    <row r="731" spans="1:7" ht="99" thickBot="1">
      <c r="A731" s="3">
        <v>729</v>
      </c>
      <c r="B731" s="3" t="s">
        <v>1666</v>
      </c>
      <c r="C731" s="6" t="s">
        <v>2144</v>
      </c>
      <c r="D731" s="6" t="s">
        <v>2145</v>
      </c>
      <c r="E731" s="7" t="s">
        <v>2146</v>
      </c>
      <c r="F731" s="5"/>
      <c r="G731" s="5"/>
    </row>
    <row r="732" spans="1:7" ht="99" thickBot="1">
      <c r="A732" s="3">
        <v>730</v>
      </c>
      <c r="B732" s="3" t="s">
        <v>1666</v>
      </c>
      <c r="C732" s="6" t="s">
        <v>2147</v>
      </c>
      <c r="D732" s="6" t="s">
        <v>2148</v>
      </c>
      <c r="E732" s="7" t="s">
        <v>2149</v>
      </c>
      <c r="F732" s="5"/>
      <c r="G732" s="5"/>
    </row>
    <row r="733" spans="1:7" ht="99" thickBot="1">
      <c r="A733" s="3">
        <v>731</v>
      </c>
      <c r="B733" s="3" t="s">
        <v>1666</v>
      </c>
      <c r="C733" s="6" t="s">
        <v>2150</v>
      </c>
      <c r="D733" s="6" t="s">
        <v>2151</v>
      </c>
      <c r="E733" s="7" t="s">
        <v>2152</v>
      </c>
      <c r="F733" s="5"/>
      <c r="G733" s="5"/>
    </row>
    <row r="734" spans="1:7" ht="99" thickBot="1">
      <c r="A734" s="3">
        <v>732</v>
      </c>
      <c r="B734" s="3" t="s">
        <v>1666</v>
      </c>
      <c r="C734" s="6" t="s">
        <v>2153</v>
      </c>
      <c r="D734" s="6" t="s">
        <v>2154</v>
      </c>
      <c r="E734" s="7" t="s">
        <v>2155</v>
      </c>
      <c r="F734" s="5"/>
      <c r="G734" s="5"/>
    </row>
    <row r="735" spans="1:7" ht="99" thickBot="1">
      <c r="A735" s="3">
        <v>733</v>
      </c>
      <c r="B735" s="3" t="s">
        <v>1666</v>
      </c>
      <c r="C735" s="6" t="s">
        <v>2156</v>
      </c>
      <c r="D735" s="6" t="s">
        <v>2157</v>
      </c>
      <c r="E735" s="7" t="s">
        <v>2158</v>
      </c>
      <c r="F735" s="5"/>
      <c r="G735" s="5"/>
    </row>
    <row r="736" spans="1:7" ht="99" thickBot="1">
      <c r="A736" s="3">
        <v>734</v>
      </c>
      <c r="B736" s="3" t="s">
        <v>1666</v>
      </c>
      <c r="C736" s="6" t="s">
        <v>2159</v>
      </c>
      <c r="D736" s="6" t="s">
        <v>2160</v>
      </c>
      <c r="E736" s="7" t="s">
        <v>2161</v>
      </c>
      <c r="F736" s="5"/>
      <c r="G736" s="5"/>
    </row>
    <row r="737" spans="1:7" ht="99" thickBot="1">
      <c r="A737" s="3">
        <v>735</v>
      </c>
      <c r="B737" s="3" t="s">
        <v>1666</v>
      </c>
      <c r="C737" s="6" t="s">
        <v>2162</v>
      </c>
      <c r="D737" s="6" t="s">
        <v>2163</v>
      </c>
      <c r="E737" s="7" t="s">
        <v>2164</v>
      </c>
      <c r="F737" s="5"/>
      <c r="G737" s="5"/>
    </row>
    <row r="738" spans="1:7" ht="99" thickBot="1">
      <c r="A738" s="3">
        <v>736</v>
      </c>
      <c r="B738" s="3" t="s">
        <v>1666</v>
      </c>
      <c r="C738" s="6" t="s">
        <v>2165</v>
      </c>
      <c r="D738" s="6" t="s">
        <v>2166</v>
      </c>
      <c r="E738" s="7" t="s">
        <v>2167</v>
      </c>
      <c r="F738" s="5"/>
      <c r="G738" s="5"/>
    </row>
    <row r="739" spans="1:7" ht="99" thickBot="1">
      <c r="A739" s="3">
        <v>737</v>
      </c>
      <c r="B739" s="3" t="s">
        <v>1666</v>
      </c>
      <c r="C739" s="6" t="s">
        <v>2168</v>
      </c>
      <c r="D739" s="6" t="s">
        <v>2001</v>
      </c>
      <c r="E739" s="7" t="s">
        <v>2169</v>
      </c>
      <c r="F739" s="5"/>
      <c r="G739" s="5"/>
    </row>
    <row r="740" spans="1:7" ht="99" thickBot="1">
      <c r="A740" s="3">
        <v>738</v>
      </c>
      <c r="B740" s="3" t="s">
        <v>1666</v>
      </c>
      <c r="C740" s="6" t="s">
        <v>2170</v>
      </c>
      <c r="D740" s="6" t="s">
        <v>2171</v>
      </c>
      <c r="E740" s="7" t="s">
        <v>2172</v>
      </c>
      <c r="F740" s="5"/>
      <c r="G740" s="5"/>
    </row>
    <row r="741" spans="1:7" ht="99" thickBot="1">
      <c r="A741" s="3">
        <v>739</v>
      </c>
      <c r="B741" s="3" t="s">
        <v>1666</v>
      </c>
      <c r="C741" s="6" t="s">
        <v>2173</v>
      </c>
      <c r="D741" s="6" t="s">
        <v>2174</v>
      </c>
      <c r="E741" s="7" t="s">
        <v>2175</v>
      </c>
      <c r="F741" s="5"/>
      <c r="G741" s="5"/>
    </row>
    <row r="742" spans="1:7" ht="99" thickBot="1">
      <c r="A742" s="3">
        <v>740</v>
      </c>
      <c r="B742" s="3" t="s">
        <v>1666</v>
      </c>
      <c r="C742" s="6" t="s">
        <v>2176</v>
      </c>
      <c r="D742" s="6" t="s">
        <v>2177</v>
      </c>
      <c r="E742" s="7" t="s">
        <v>2178</v>
      </c>
      <c r="F742" s="5"/>
      <c r="G742" s="5"/>
    </row>
    <row r="743" spans="1:7" ht="126.6" thickBot="1">
      <c r="A743" s="3">
        <v>741</v>
      </c>
      <c r="B743" s="3" t="s">
        <v>1666</v>
      </c>
      <c r="C743" s="6" t="s">
        <v>2179</v>
      </c>
      <c r="D743" s="6" t="s">
        <v>2180</v>
      </c>
      <c r="E743" s="7" t="s">
        <v>2181</v>
      </c>
      <c r="F743" s="5"/>
      <c r="G743" s="5"/>
    </row>
    <row r="744" spans="1:7" ht="99" thickBot="1">
      <c r="A744" s="3">
        <v>742</v>
      </c>
      <c r="B744" s="3" t="s">
        <v>1666</v>
      </c>
      <c r="C744" s="6" t="s">
        <v>2182</v>
      </c>
      <c r="D744" s="6" t="s">
        <v>2183</v>
      </c>
      <c r="E744" s="7" t="s">
        <v>2184</v>
      </c>
      <c r="F744" s="5"/>
      <c r="G744" s="5"/>
    </row>
    <row r="745" spans="1:7" ht="99" thickBot="1">
      <c r="A745" s="3">
        <v>743</v>
      </c>
      <c r="B745" s="3" t="s">
        <v>1666</v>
      </c>
      <c r="C745" s="6" t="s">
        <v>2185</v>
      </c>
      <c r="D745" s="6" t="s">
        <v>2186</v>
      </c>
      <c r="E745" s="7" t="s">
        <v>2187</v>
      </c>
      <c r="F745" s="5"/>
      <c r="G745" s="5"/>
    </row>
    <row r="746" spans="1:7" ht="99" thickBot="1">
      <c r="A746" s="3">
        <v>744</v>
      </c>
      <c r="B746" s="3" t="s">
        <v>1666</v>
      </c>
      <c r="C746" s="6" t="s">
        <v>2188</v>
      </c>
      <c r="D746" s="6" t="s">
        <v>2189</v>
      </c>
      <c r="E746" s="7" t="s">
        <v>2190</v>
      </c>
      <c r="F746" s="5"/>
      <c r="G746" s="5"/>
    </row>
    <row r="747" spans="1:7" ht="99" thickBot="1">
      <c r="A747" s="3">
        <v>745</v>
      </c>
      <c r="B747" s="3" t="s">
        <v>1666</v>
      </c>
      <c r="C747" s="6" t="s">
        <v>2191</v>
      </c>
      <c r="D747" s="6" t="s">
        <v>2192</v>
      </c>
      <c r="E747" s="7" t="s">
        <v>2193</v>
      </c>
      <c r="F747" s="5"/>
      <c r="G747" s="5"/>
    </row>
    <row r="748" spans="1:7" ht="99" thickBot="1">
      <c r="A748" s="3">
        <v>746</v>
      </c>
      <c r="B748" s="3" t="s">
        <v>1666</v>
      </c>
      <c r="C748" s="6" t="s">
        <v>2194</v>
      </c>
      <c r="D748" s="6" t="s">
        <v>2195</v>
      </c>
      <c r="E748" s="7" t="s">
        <v>2196</v>
      </c>
      <c r="F748" s="5"/>
      <c r="G748" s="5"/>
    </row>
    <row r="749" spans="1:7" ht="99" thickBot="1">
      <c r="A749" s="3">
        <v>747</v>
      </c>
      <c r="B749" s="3" t="s">
        <v>1666</v>
      </c>
      <c r="C749" s="6" t="s">
        <v>2197</v>
      </c>
      <c r="D749" s="6" t="s">
        <v>2198</v>
      </c>
      <c r="E749" s="7" t="s">
        <v>2199</v>
      </c>
      <c r="F749" s="5"/>
      <c r="G749" s="5"/>
    </row>
    <row r="750" spans="1:7" ht="112.8" thickBot="1">
      <c r="A750" s="3">
        <v>748</v>
      </c>
      <c r="B750" s="3" t="s">
        <v>1666</v>
      </c>
      <c r="C750" s="6" t="s">
        <v>2200</v>
      </c>
      <c r="D750" s="6" t="s">
        <v>2201</v>
      </c>
      <c r="E750" s="7" t="s">
        <v>2202</v>
      </c>
      <c r="F750" s="5"/>
      <c r="G750" s="5"/>
    </row>
    <row r="751" spans="1:7" ht="112.8" thickBot="1">
      <c r="A751" s="3">
        <v>749</v>
      </c>
      <c r="B751" s="3" t="s">
        <v>1666</v>
      </c>
      <c r="C751" s="6" t="s">
        <v>2203</v>
      </c>
      <c r="D751" s="6" t="s">
        <v>2204</v>
      </c>
      <c r="E751" s="7" t="s">
        <v>2205</v>
      </c>
      <c r="F751" s="5"/>
      <c r="G751" s="5"/>
    </row>
    <row r="752" spans="1:7" ht="112.8" thickBot="1">
      <c r="A752" s="3">
        <v>750</v>
      </c>
      <c r="B752" s="3" t="s">
        <v>1666</v>
      </c>
      <c r="C752" s="6" t="s">
        <v>2206</v>
      </c>
      <c r="D752" s="6" t="s">
        <v>2207</v>
      </c>
      <c r="E752" s="7" t="s">
        <v>2208</v>
      </c>
      <c r="F752" s="5"/>
      <c r="G752" s="5"/>
    </row>
    <row r="753" spans="1:7" ht="112.8" thickBot="1">
      <c r="A753" s="3">
        <v>751</v>
      </c>
      <c r="B753" s="3" t="s">
        <v>1666</v>
      </c>
      <c r="C753" s="6" t="s">
        <v>2209</v>
      </c>
      <c r="D753" s="6" t="s">
        <v>2210</v>
      </c>
      <c r="E753" s="7" t="s">
        <v>2211</v>
      </c>
      <c r="F753" s="5"/>
      <c r="G753" s="5"/>
    </row>
    <row r="754" spans="1:7" ht="99" thickBot="1">
      <c r="A754" s="3">
        <v>752</v>
      </c>
      <c r="B754" s="3" t="s">
        <v>1666</v>
      </c>
      <c r="C754" s="6" t="s">
        <v>2212</v>
      </c>
      <c r="D754" s="6" t="s">
        <v>2213</v>
      </c>
      <c r="E754" s="7" t="s">
        <v>2214</v>
      </c>
      <c r="F754" s="5"/>
      <c r="G754" s="5"/>
    </row>
    <row r="755" spans="1:7" ht="112.8" thickBot="1">
      <c r="A755" s="3">
        <v>753</v>
      </c>
      <c r="B755" s="3" t="s">
        <v>1666</v>
      </c>
      <c r="C755" s="6" t="s">
        <v>2215</v>
      </c>
      <c r="D755" s="6" t="s">
        <v>2216</v>
      </c>
      <c r="E755" s="7" t="s">
        <v>2217</v>
      </c>
      <c r="F755" s="5"/>
      <c r="G755" s="5"/>
    </row>
    <row r="756" spans="1:7" ht="99" thickBot="1">
      <c r="A756" s="3">
        <v>754</v>
      </c>
      <c r="B756" s="3" t="s">
        <v>1666</v>
      </c>
      <c r="C756" s="6" t="s">
        <v>2218</v>
      </c>
      <c r="D756" s="6" t="s">
        <v>2219</v>
      </c>
      <c r="E756" s="7" t="s">
        <v>2152</v>
      </c>
      <c r="F756" s="5"/>
      <c r="G756" s="5"/>
    </row>
    <row r="757" spans="1:7" ht="112.8" thickBot="1">
      <c r="A757" s="3">
        <v>755</v>
      </c>
      <c r="B757" s="3" t="s">
        <v>1666</v>
      </c>
      <c r="C757" s="6" t="s">
        <v>2220</v>
      </c>
      <c r="D757" s="6" t="s">
        <v>2221</v>
      </c>
      <c r="E757" s="7" t="s">
        <v>2222</v>
      </c>
      <c r="F757" s="5"/>
      <c r="G757" s="5"/>
    </row>
    <row r="758" spans="1:7" ht="99" thickBot="1">
      <c r="A758" s="3">
        <v>756</v>
      </c>
      <c r="B758" s="3" t="s">
        <v>1666</v>
      </c>
      <c r="C758" s="6" t="s">
        <v>2223</v>
      </c>
      <c r="D758" s="6" t="s">
        <v>2224</v>
      </c>
      <c r="E758" s="7" t="s">
        <v>2225</v>
      </c>
      <c r="F758" s="5"/>
      <c r="G758" s="5"/>
    </row>
    <row r="759" spans="1:7" ht="99" thickBot="1">
      <c r="A759" s="3">
        <v>757</v>
      </c>
      <c r="B759" s="3" t="s">
        <v>1666</v>
      </c>
      <c r="C759" s="6" t="s">
        <v>2226</v>
      </c>
      <c r="D759" s="6" t="s">
        <v>2227</v>
      </c>
      <c r="E759" s="7" t="s">
        <v>2228</v>
      </c>
      <c r="F759" s="5"/>
      <c r="G759" s="5"/>
    </row>
    <row r="760" spans="1:7" ht="99" thickBot="1">
      <c r="A760" s="3">
        <v>758</v>
      </c>
      <c r="B760" s="3" t="s">
        <v>1666</v>
      </c>
      <c r="C760" s="6" t="s">
        <v>2229</v>
      </c>
      <c r="D760" s="6" t="s">
        <v>2230</v>
      </c>
      <c r="E760" s="7" t="s">
        <v>2231</v>
      </c>
      <c r="F760" s="5"/>
      <c r="G760" s="5"/>
    </row>
    <row r="761" spans="1:7" ht="99" thickBot="1">
      <c r="A761" s="3">
        <v>759</v>
      </c>
      <c r="B761" s="3" t="s">
        <v>1666</v>
      </c>
      <c r="C761" s="6" t="s">
        <v>2232</v>
      </c>
      <c r="D761" s="6" t="s">
        <v>2233</v>
      </c>
      <c r="E761" s="7" t="s">
        <v>2234</v>
      </c>
      <c r="F761" s="5"/>
      <c r="G761" s="5"/>
    </row>
    <row r="762" spans="1:7" ht="99" thickBot="1">
      <c r="A762" s="3">
        <v>760</v>
      </c>
      <c r="B762" s="3" t="s">
        <v>1666</v>
      </c>
      <c r="C762" s="6" t="s">
        <v>2235</v>
      </c>
      <c r="D762" s="6" t="s">
        <v>2236</v>
      </c>
      <c r="E762" s="7" t="s">
        <v>2237</v>
      </c>
      <c r="F762" s="5"/>
      <c r="G762" s="5"/>
    </row>
    <row r="763" spans="1:7" ht="99" thickBot="1">
      <c r="A763" s="3">
        <v>761</v>
      </c>
      <c r="B763" s="3" t="s">
        <v>1666</v>
      </c>
      <c r="C763" s="6" t="s">
        <v>2238</v>
      </c>
      <c r="D763" s="6" t="s">
        <v>2239</v>
      </c>
      <c r="E763" s="7" t="s">
        <v>2240</v>
      </c>
      <c r="F763" s="5"/>
      <c r="G763" s="5"/>
    </row>
    <row r="764" spans="1:7" ht="99" thickBot="1">
      <c r="A764" s="3">
        <v>762</v>
      </c>
      <c r="B764" s="3" t="s">
        <v>1666</v>
      </c>
      <c r="C764" s="6" t="s">
        <v>2241</v>
      </c>
      <c r="D764" s="6" t="s">
        <v>2242</v>
      </c>
      <c r="E764" s="7" t="s">
        <v>2243</v>
      </c>
      <c r="F764" s="5"/>
      <c r="G764" s="5"/>
    </row>
    <row r="765" spans="1:7" ht="99" thickBot="1">
      <c r="A765" s="3">
        <v>763</v>
      </c>
      <c r="B765" s="3" t="s">
        <v>1666</v>
      </c>
      <c r="C765" s="6" t="s">
        <v>2244</v>
      </c>
      <c r="D765" s="6" t="s">
        <v>2245</v>
      </c>
      <c r="E765" s="7" t="s">
        <v>2099</v>
      </c>
      <c r="F765" s="5"/>
      <c r="G765" s="5"/>
    </row>
    <row r="766" spans="1:7" ht="99" thickBot="1">
      <c r="A766" s="3">
        <v>764</v>
      </c>
      <c r="B766" s="3" t="s">
        <v>1666</v>
      </c>
      <c r="C766" s="6" t="s">
        <v>2246</v>
      </c>
      <c r="D766" s="6" t="s">
        <v>2247</v>
      </c>
      <c r="E766" s="7" t="s">
        <v>2248</v>
      </c>
      <c r="F766" s="5"/>
      <c r="G766" s="5"/>
    </row>
    <row r="767" spans="1:7" ht="99" thickBot="1">
      <c r="A767" s="3">
        <v>765</v>
      </c>
      <c r="B767" s="3" t="s">
        <v>1666</v>
      </c>
      <c r="C767" s="6" t="s">
        <v>2249</v>
      </c>
      <c r="D767" s="6" t="s">
        <v>1837</v>
      </c>
      <c r="E767" s="7" t="s">
        <v>2250</v>
      </c>
      <c r="F767" s="5"/>
      <c r="G767" s="5"/>
    </row>
    <row r="768" spans="1:7" ht="112.8" thickBot="1">
      <c r="A768" s="3">
        <v>766</v>
      </c>
      <c r="B768" s="3" t="s">
        <v>1666</v>
      </c>
      <c r="C768" s="6" t="s">
        <v>2251</v>
      </c>
      <c r="D768" s="6" t="s">
        <v>2252</v>
      </c>
      <c r="E768" s="7" t="s">
        <v>2253</v>
      </c>
      <c r="F768" s="5"/>
      <c r="G768" s="5"/>
    </row>
    <row r="769" spans="1:7" ht="99" thickBot="1">
      <c r="A769" s="3">
        <v>767</v>
      </c>
      <c r="B769" s="3" t="s">
        <v>1666</v>
      </c>
      <c r="C769" s="6" t="s">
        <v>2254</v>
      </c>
      <c r="D769" s="6" t="s">
        <v>2255</v>
      </c>
      <c r="E769" s="7" t="s">
        <v>2256</v>
      </c>
      <c r="F769" s="5"/>
      <c r="G769" s="5"/>
    </row>
    <row r="770" spans="1:7" ht="112.8" thickBot="1">
      <c r="A770" s="3">
        <v>768</v>
      </c>
      <c r="B770" s="3" t="s">
        <v>1666</v>
      </c>
      <c r="C770" s="6" t="s">
        <v>2257</v>
      </c>
      <c r="D770" s="6" t="s">
        <v>2258</v>
      </c>
      <c r="E770" s="7" t="s">
        <v>2259</v>
      </c>
      <c r="F770" s="5"/>
      <c r="G770" s="5"/>
    </row>
    <row r="771" spans="1:7" ht="99" thickBot="1">
      <c r="A771" s="3">
        <v>769</v>
      </c>
      <c r="B771" s="3" t="s">
        <v>1666</v>
      </c>
      <c r="C771" s="6" t="s">
        <v>2260</v>
      </c>
      <c r="D771" s="6" t="s">
        <v>2261</v>
      </c>
      <c r="E771" s="7" t="s">
        <v>2262</v>
      </c>
      <c r="F771" s="5"/>
      <c r="G771" s="5"/>
    </row>
    <row r="772" spans="1:7" ht="99" thickBot="1">
      <c r="A772" s="3">
        <v>770</v>
      </c>
      <c r="B772" s="3" t="s">
        <v>1666</v>
      </c>
      <c r="C772" s="6" t="s">
        <v>2263</v>
      </c>
      <c r="D772" s="6" t="s">
        <v>2264</v>
      </c>
      <c r="E772" s="7" t="s">
        <v>2265</v>
      </c>
      <c r="F772" s="5"/>
      <c r="G772" s="5"/>
    </row>
    <row r="773" spans="1:7" ht="112.8" thickBot="1">
      <c r="A773" s="3">
        <v>771</v>
      </c>
      <c r="B773" s="3" t="s">
        <v>1666</v>
      </c>
      <c r="C773" s="6" t="s">
        <v>2266</v>
      </c>
      <c r="D773" s="6" t="s">
        <v>2267</v>
      </c>
      <c r="E773" s="7" t="s">
        <v>2268</v>
      </c>
      <c r="F773" s="5"/>
      <c r="G773" s="5"/>
    </row>
    <row r="774" spans="1:7" ht="99" thickBot="1">
      <c r="A774" s="3">
        <v>772</v>
      </c>
      <c r="B774" s="3" t="s">
        <v>1666</v>
      </c>
      <c r="C774" s="6" t="s">
        <v>2269</v>
      </c>
      <c r="D774" s="6" t="s">
        <v>2270</v>
      </c>
      <c r="E774" s="7" t="s">
        <v>2271</v>
      </c>
      <c r="F774" s="5"/>
      <c r="G774" s="5"/>
    </row>
    <row r="775" spans="1:7" ht="99" thickBot="1">
      <c r="A775" s="3">
        <v>773</v>
      </c>
      <c r="B775" s="3" t="s">
        <v>1666</v>
      </c>
      <c r="C775" s="6" t="s">
        <v>2272</v>
      </c>
      <c r="D775" s="6" t="s">
        <v>2273</v>
      </c>
      <c r="E775" s="7" t="s">
        <v>2274</v>
      </c>
      <c r="F775" s="5"/>
      <c r="G775" s="5"/>
    </row>
    <row r="776" spans="1:7" ht="99" thickBot="1">
      <c r="A776" s="3">
        <v>774</v>
      </c>
      <c r="B776" s="3" t="s">
        <v>1666</v>
      </c>
      <c r="C776" s="6" t="s">
        <v>2275</v>
      </c>
      <c r="D776" s="6" t="s">
        <v>2276</v>
      </c>
      <c r="E776" s="7" t="s">
        <v>2277</v>
      </c>
      <c r="F776" s="5"/>
      <c r="G776" s="5"/>
    </row>
    <row r="777" spans="1:7" ht="112.8" thickBot="1">
      <c r="A777" s="3">
        <v>775</v>
      </c>
      <c r="B777" s="3" t="s">
        <v>1666</v>
      </c>
      <c r="C777" s="6" t="s">
        <v>2278</v>
      </c>
      <c r="D777" s="6" t="s">
        <v>2279</v>
      </c>
      <c r="E777" s="7" t="s">
        <v>2280</v>
      </c>
      <c r="F777" s="5"/>
      <c r="G777" s="5"/>
    </row>
    <row r="778" spans="1:7" ht="99" thickBot="1">
      <c r="A778" s="3">
        <v>776</v>
      </c>
      <c r="B778" s="3" t="s">
        <v>1666</v>
      </c>
      <c r="C778" s="6" t="s">
        <v>2281</v>
      </c>
      <c r="D778" s="6" t="s">
        <v>2282</v>
      </c>
      <c r="E778" s="7" t="s">
        <v>2283</v>
      </c>
      <c r="F778" s="5"/>
      <c r="G778" s="5"/>
    </row>
    <row r="779" spans="1:7" ht="99" thickBot="1">
      <c r="A779" s="3">
        <v>777</v>
      </c>
      <c r="B779" s="3" t="s">
        <v>1666</v>
      </c>
      <c r="C779" s="6" t="s">
        <v>2284</v>
      </c>
      <c r="D779" s="6" t="s">
        <v>2285</v>
      </c>
      <c r="E779" s="7" t="s">
        <v>2286</v>
      </c>
      <c r="F779" s="5"/>
      <c r="G779" s="5"/>
    </row>
    <row r="780" spans="1:7" ht="99" thickBot="1">
      <c r="A780" s="3">
        <v>778</v>
      </c>
      <c r="B780" s="3" t="s">
        <v>1666</v>
      </c>
      <c r="C780" s="6" t="s">
        <v>2287</v>
      </c>
      <c r="D780" s="6" t="s">
        <v>2288</v>
      </c>
      <c r="E780" s="7" t="s">
        <v>2289</v>
      </c>
      <c r="F780" s="5"/>
      <c r="G780" s="5"/>
    </row>
    <row r="781" spans="1:7" ht="112.8" thickBot="1">
      <c r="A781" s="3">
        <v>779</v>
      </c>
      <c r="B781" s="3" t="s">
        <v>1666</v>
      </c>
      <c r="C781" s="6" t="s">
        <v>2290</v>
      </c>
      <c r="D781" s="6" t="s">
        <v>2291</v>
      </c>
      <c r="E781" s="7" t="s">
        <v>2292</v>
      </c>
      <c r="F781" s="5"/>
      <c r="G781" s="5"/>
    </row>
    <row r="782" spans="1:7" ht="99" thickBot="1">
      <c r="A782" s="3">
        <v>780</v>
      </c>
      <c r="B782" s="3" t="s">
        <v>1666</v>
      </c>
      <c r="C782" s="6" t="s">
        <v>2293</v>
      </c>
      <c r="D782" s="6" t="s">
        <v>2294</v>
      </c>
      <c r="E782" s="7" t="s">
        <v>2295</v>
      </c>
      <c r="F782" s="5"/>
      <c r="G782" s="5"/>
    </row>
    <row r="783" spans="1:7" ht="99" thickBot="1">
      <c r="A783" s="3">
        <v>781</v>
      </c>
      <c r="B783" s="3" t="s">
        <v>1666</v>
      </c>
      <c r="C783" s="6" t="s">
        <v>2296</v>
      </c>
      <c r="D783" s="6" t="s">
        <v>2297</v>
      </c>
      <c r="E783" s="7" t="s">
        <v>2298</v>
      </c>
      <c r="F783" s="5"/>
      <c r="G783" s="5"/>
    </row>
    <row r="784" spans="1:7" ht="99" thickBot="1">
      <c r="A784" s="3">
        <v>782</v>
      </c>
      <c r="B784" s="3" t="s">
        <v>1666</v>
      </c>
      <c r="C784" s="6" t="s">
        <v>2299</v>
      </c>
      <c r="D784" s="6" t="s">
        <v>2300</v>
      </c>
      <c r="E784" s="7" t="s">
        <v>2301</v>
      </c>
      <c r="F784" s="5"/>
      <c r="G784" s="5"/>
    </row>
    <row r="785" spans="1:7" ht="112.8" thickBot="1">
      <c r="A785" s="3">
        <v>783</v>
      </c>
      <c r="B785" s="3" t="s">
        <v>1666</v>
      </c>
      <c r="C785" s="6" t="s">
        <v>2302</v>
      </c>
      <c r="D785" s="6" t="s">
        <v>2303</v>
      </c>
      <c r="E785" s="7" t="s">
        <v>2304</v>
      </c>
      <c r="F785" s="5"/>
      <c r="G785" s="5"/>
    </row>
    <row r="786" spans="1:7" ht="99" thickBot="1">
      <c r="A786" s="3">
        <v>784</v>
      </c>
      <c r="B786" s="3" t="s">
        <v>1666</v>
      </c>
      <c r="C786" s="6" t="s">
        <v>2305</v>
      </c>
      <c r="D786" s="6" t="s">
        <v>2306</v>
      </c>
      <c r="E786" s="7" t="s">
        <v>2307</v>
      </c>
      <c r="F786" s="5"/>
      <c r="G786" s="5"/>
    </row>
    <row r="787" spans="1:7" ht="112.8" thickBot="1">
      <c r="A787" s="3">
        <v>785</v>
      </c>
      <c r="B787" s="3" t="s">
        <v>1666</v>
      </c>
      <c r="C787" s="6" t="s">
        <v>2308</v>
      </c>
      <c r="D787" s="6" t="s">
        <v>2309</v>
      </c>
      <c r="E787" s="7" t="s">
        <v>2310</v>
      </c>
      <c r="F787" s="5"/>
      <c r="G787" s="5"/>
    </row>
    <row r="788" spans="1:7" ht="99" thickBot="1">
      <c r="A788" s="3">
        <v>786</v>
      </c>
      <c r="B788" s="3" t="s">
        <v>1666</v>
      </c>
      <c r="C788" s="6" t="s">
        <v>2311</v>
      </c>
      <c r="D788" s="6" t="s">
        <v>2312</v>
      </c>
      <c r="E788" s="7" t="s">
        <v>2061</v>
      </c>
      <c r="F788" s="5"/>
      <c r="G788" s="5"/>
    </row>
    <row r="789" spans="1:7" ht="112.8" thickBot="1">
      <c r="A789" s="3">
        <v>787</v>
      </c>
      <c r="B789" s="3" t="s">
        <v>1666</v>
      </c>
      <c r="C789" s="6" t="s">
        <v>2313</v>
      </c>
      <c r="D789" s="6" t="s">
        <v>2314</v>
      </c>
      <c r="E789" s="7" t="s">
        <v>2315</v>
      </c>
      <c r="F789" s="5"/>
      <c r="G789" s="5"/>
    </row>
    <row r="790" spans="1:7" ht="112.8" thickBot="1">
      <c r="A790" s="3">
        <v>788</v>
      </c>
      <c r="B790" s="3" t="s">
        <v>1666</v>
      </c>
      <c r="C790" s="6" t="s">
        <v>2316</v>
      </c>
      <c r="D790" s="6" t="s">
        <v>2317</v>
      </c>
      <c r="E790" s="7" t="s">
        <v>2318</v>
      </c>
      <c r="F790" s="5"/>
      <c r="G790" s="5"/>
    </row>
    <row r="791" spans="1:7" ht="99" thickBot="1">
      <c r="A791" s="3">
        <v>789</v>
      </c>
      <c r="B791" s="3" t="s">
        <v>1666</v>
      </c>
      <c r="C791" s="6" t="s">
        <v>2319</v>
      </c>
      <c r="D791" s="6" t="s">
        <v>2320</v>
      </c>
      <c r="E791" s="7" t="s">
        <v>2321</v>
      </c>
      <c r="F791" s="5"/>
      <c r="G791" s="5"/>
    </row>
    <row r="792" spans="1:7" ht="99" thickBot="1">
      <c r="A792" s="3">
        <v>790</v>
      </c>
      <c r="B792" s="3" t="s">
        <v>1666</v>
      </c>
      <c r="C792" s="6" t="s">
        <v>2322</v>
      </c>
      <c r="D792" s="6" t="s">
        <v>2323</v>
      </c>
      <c r="E792" s="7" t="s">
        <v>2324</v>
      </c>
      <c r="F792" s="5"/>
      <c r="G792" s="5"/>
    </row>
    <row r="793" spans="1:7" ht="99" thickBot="1">
      <c r="A793" s="3">
        <v>791</v>
      </c>
      <c r="B793" s="3" t="s">
        <v>1666</v>
      </c>
      <c r="C793" s="6" t="s">
        <v>2325</v>
      </c>
      <c r="D793" s="6" t="s">
        <v>2326</v>
      </c>
      <c r="E793" s="7" t="s">
        <v>2327</v>
      </c>
      <c r="F793" s="5"/>
      <c r="G793" s="5"/>
    </row>
    <row r="794" spans="1:7" ht="99" thickBot="1">
      <c r="A794" s="3">
        <v>792</v>
      </c>
      <c r="B794" s="3" t="s">
        <v>1666</v>
      </c>
      <c r="C794" s="6" t="s">
        <v>2328</v>
      </c>
      <c r="D794" s="6" t="s">
        <v>2329</v>
      </c>
      <c r="E794" s="7" t="s">
        <v>2330</v>
      </c>
      <c r="F794" s="5"/>
      <c r="G794" s="5"/>
    </row>
    <row r="795" spans="1:7" ht="112.8" thickBot="1">
      <c r="A795" s="3">
        <v>793</v>
      </c>
      <c r="B795" s="3" t="s">
        <v>1666</v>
      </c>
      <c r="C795" s="6" t="s">
        <v>2331</v>
      </c>
      <c r="D795" s="6" t="s">
        <v>2332</v>
      </c>
      <c r="E795" s="7" t="s">
        <v>2333</v>
      </c>
      <c r="F795" s="5"/>
      <c r="G795" s="5"/>
    </row>
    <row r="796" spans="1:7" ht="99" thickBot="1">
      <c r="A796" s="3">
        <v>794</v>
      </c>
      <c r="B796" s="3" t="s">
        <v>1666</v>
      </c>
      <c r="C796" s="6" t="s">
        <v>2334</v>
      </c>
      <c r="D796" s="6" t="s">
        <v>2335</v>
      </c>
      <c r="E796" s="7" t="s">
        <v>2336</v>
      </c>
      <c r="F796" s="5"/>
      <c r="G796" s="5"/>
    </row>
    <row r="797" spans="1:7" ht="99" thickBot="1">
      <c r="A797" s="3">
        <v>795</v>
      </c>
      <c r="B797" s="3" t="s">
        <v>1666</v>
      </c>
      <c r="C797" s="6" t="s">
        <v>2337</v>
      </c>
      <c r="D797" s="6" t="s">
        <v>2338</v>
      </c>
      <c r="E797" s="7" t="s">
        <v>2339</v>
      </c>
      <c r="F797" s="5"/>
      <c r="G797" s="5"/>
    </row>
    <row r="798" spans="1:7" ht="126.6" thickBot="1">
      <c r="A798" s="3">
        <v>796</v>
      </c>
      <c r="B798" s="3" t="s">
        <v>1666</v>
      </c>
      <c r="C798" s="6" t="s">
        <v>2340</v>
      </c>
      <c r="D798" s="6" t="s">
        <v>2341</v>
      </c>
      <c r="E798" s="7" t="s">
        <v>2342</v>
      </c>
      <c r="F798" s="5"/>
      <c r="G798" s="5"/>
    </row>
    <row r="799" spans="1:7" ht="112.8" thickBot="1">
      <c r="A799" s="3">
        <v>797</v>
      </c>
      <c r="B799" s="3" t="s">
        <v>1666</v>
      </c>
      <c r="C799" s="6" t="s">
        <v>2343</v>
      </c>
      <c r="D799" s="6" t="s">
        <v>2344</v>
      </c>
      <c r="E799" s="7" t="s">
        <v>2345</v>
      </c>
      <c r="F799" s="5"/>
      <c r="G799" s="5"/>
    </row>
    <row r="800" spans="1:7" ht="99" thickBot="1">
      <c r="A800" s="3">
        <v>798</v>
      </c>
      <c r="B800" s="3" t="s">
        <v>1666</v>
      </c>
      <c r="C800" s="6" t="s">
        <v>2346</v>
      </c>
      <c r="D800" s="6" t="s">
        <v>2347</v>
      </c>
      <c r="E800" s="7" t="s">
        <v>2348</v>
      </c>
      <c r="F800" s="5"/>
      <c r="G800" s="5"/>
    </row>
    <row r="801" spans="1:7" ht="99" thickBot="1">
      <c r="A801" s="3">
        <v>799</v>
      </c>
      <c r="B801" s="3" t="s">
        <v>1666</v>
      </c>
      <c r="C801" s="6" t="s">
        <v>2349</v>
      </c>
      <c r="D801" s="6" t="s">
        <v>2350</v>
      </c>
      <c r="E801" s="7" t="s">
        <v>2351</v>
      </c>
      <c r="F801" s="5"/>
      <c r="G801" s="5"/>
    </row>
    <row r="802" spans="1:7" ht="99" thickBot="1">
      <c r="A802" s="3">
        <v>800</v>
      </c>
      <c r="B802" s="3" t="s">
        <v>1666</v>
      </c>
      <c r="C802" s="6" t="s">
        <v>2352</v>
      </c>
      <c r="D802" s="6" t="s">
        <v>2353</v>
      </c>
      <c r="E802" s="7" t="s">
        <v>2354</v>
      </c>
      <c r="F802" s="5"/>
      <c r="G802" s="5"/>
    </row>
    <row r="803" spans="1:7" ht="181.8" thickBot="1">
      <c r="A803" s="3">
        <v>801</v>
      </c>
      <c r="B803" s="3" t="s">
        <v>1666</v>
      </c>
      <c r="C803" s="6" t="s">
        <v>2355</v>
      </c>
      <c r="D803" s="6" t="s">
        <v>2356</v>
      </c>
      <c r="E803" s="7" t="s">
        <v>2357</v>
      </c>
      <c r="F803" s="5"/>
      <c r="G803" s="5"/>
    </row>
    <row r="804" spans="1:7" ht="112.8" thickBot="1">
      <c r="A804" s="3">
        <v>802</v>
      </c>
      <c r="B804" s="3" t="s">
        <v>1666</v>
      </c>
      <c r="C804" s="6" t="s">
        <v>2358</v>
      </c>
      <c r="D804" s="6" t="s">
        <v>2359</v>
      </c>
      <c r="E804" s="7" t="s">
        <v>2360</v>
      </c>
      <c r="F804" s="5"/>
      <c r="G804" s="5"/>
    </row>
    <row r="805" spans="1:7" ht="99" thickBot="1">
      <c r="A805" s="3">
        <v>803</v>
      </c>
      <c r="B805" s="3" t="s">
        <v>1666</v>
      </c>
      <c r="C805" s="6" t="s">
        <v>2361</v>
      </c>
      <c r="D805" s="6" t="s">
        <v>1837</v>
      </c>
      <c r="E805" s="7" t="s">
        <v>2362</v>
      </c>
      <c r="F805" s="5"/>
      <c r="G805" s="5"/>
    </row>
    <row r="806" spans="1:7" ht="99" thickBot="1">
      <c r="A806" s="3">
        <v>804</v>
      </c>
      <c r="B806" s="3" t="s">
        <v>1666</v>
      </c>
      <c r="C806" s="6" t="s">
        <v>2363</v>
      </c>
      <c r="D806" s="6" t="s">
        <v>2364</v>
      </c>
      <c r="E806" s="7" t="s">
        <v>2365</v>
      </c>
      <c r="F806" s="5"/>
      <c r="G806" s="5"/>
    </row>
    <row r="807" spans="1:7" ht="99" thickBot="1">
      <c r="A807" s="3">
        <v>805</v>
      </c>
      <c r="B807" s="3" t="s">
        <v>1666</v>
      </c>
      <c r="C807" s="6" t="s">
        <v>2366</v>
      </c>
      <c r="D807" s="6" t="s">
        <v>2367</v>
      </c>
      <c r="E807" s="7" t="s">
        <v>2368</v>
      </c>
      <c r="F807" s="5"/>
      <c r="G807" s="5"/>
    </row>
    <row r="808" spans="1:7" ht="99" thickBot="1">
      <c r="A808" s="3">
        <v>806</v>
      </c>
      <c r="B808" s="3" t="s">
        <v>1666</v>
      </c>
      <c r="C808" s="6" t="s">
        <v>2369</v>
      </c>
      <c r="D808" s="6" t="s">
        <v>2370</v>
      </c>
      <c r="E808" s="7" t="s">
        <v>2371</v>
      </c>
      <c r="F808" s="5"/>
      <c r="G808" s="5"/>
    </row>
    <row r="809" spans="1:7" ht="99" thickBot="1">
      <c r="A809" s="3">
        <v>807</v>
      </c>
      <c r="B809" s="3" t="s">
        <v>1666</v>
      </c>
      <c r="C809" s="6" t="s">
        <v>2372</v>
      </c>
      <c r="D809" s="6" t="s">
        <v>2373</v>
      </c>
      <c r="E809" s="7" t="s">
        <v>2374</v>
      </c>
      <c r="F809" s="5"/>
      <c r="G809" s="5"/>
    </row>
    <row r="810" spans="1:7" ht="112.8" thickBot="1">
      <c r="A810" s="3">
        <v>808</v>
      </c>
      <c r="B810" s="3" t="s">
        <v>1666</v>
      </c>
      <c r="C810" s="6" t="s">
        <v>2375</v>
      </c>
      <c r="D810" s="6" t="s">
        <v>2376</v>
      </c>
      <c r="E810" s="7" t="s">
        <v>2377</v>
      </c>
      <c r="F810" s="5"/>
      <c r="G810" s="5"/>
    </row>
    <row r="811" spans="1:7" ht="99" thickBot="1">
      <c r="A811" s="3">
        <v>809</v>
      </c>
      <c r="B811" s="3" t="s">
        <v>1666</v>
      </c>
      <c r="C811" s="6" t="s">
        <v>2378</v>
      </c>
      <c r="D811" s="6" t="s">
        <v>2379</v>
      </c>
      <c r="E811" s="7" t="s">
        <v>2380</v>
      </c>
      <c r="F811" s="5"/>
      <c r="G811" s="5"/>
    </row>
    <row r="812" spans="1:7" ht="99" thickBot="1">
      <c r="A812" s="3">
        <v>810</v>
      </c>
      <c r="B812" s="3" t="s">
        <v>1666</v>
      </c>
      <c r="C812" s="6" t="s">
        <v>2381</v>
      </c>
      <c r="D812" s="6" t="s">
        <v>2382</v>
      </c>
      <c r="E812" s="7" t="s">
        <v>2383</v>
      </c>
      <c r="F812" s="5"/>
      <c r="G812" s="5"/>
    </row>
    <row r="813" spans="1:7" ht="112.8" thickBot="1">
      <c r="A813" s="3">
        <v>811</v>
      </c>
      <c r="B813" s="3" t="s">
        <v>1666</v>
      </c>
      <c r="C813" s="6" t="s">
        <v>2384</v>
      </c>
      <c r="D813" s="6" t="s">
        <v>2385</v>
      </c>
      <c r="E813" s="7" t="s">
        <v>2386</v>
      </c>
      <c r="F813" s="5"/>
      <c r="G813" s="5"/>
    </row>
    <row r="814" spans="1:7" ht="112.8" thickBot="1">
      <c r="A814" s="3">
        <v>812</v>
      </c>
      <c r="B814" s="3" t="s">
        <v>1666</v>
      </c>
      <c r="C814" s="6" t="s">
        <v>2387</v>
      </c>
      <c r="D814" s="6" t="s">
        <v>2388</v>
      </c>
      <c r="E814" s="7" t="s">
        <v>2389</v>
      </c>
      <c r="F814" s="5"/>
      <c r="G814" s="5"/>
    </row>
    <row r="815" spans="1:7" ht="99" thickBot="1">
      <c r="A815" s="3">
        <v>813</v>
      </c>
      <c r="B815" s="3" t="s">
        <v>1666</v>
      </c>
      <c r="C815" s="6" t="s">
        <v>2390</v>
      </c>
      <c r="D815" s="6" t="s">
        <v>2391</v>
      </c>
      <c r="E815" s="7" t="s">
        <v>2392</v>
      </c>
      <c r="F815" s="5"/>
      <c r="G815" s="5"/>
    </row>
    <row r="816" spans="1:7" ht="99" thickBot="1">
      <c r="A816" s="3">
        <v>814</v>
      </c>
      <c r="B816" s="3" t="s">
        <v>1666</v>
      </c>
      <c r="C816" s="6" t="s">
        <v>2393</v>
      </c>
      <c r="D816" s="6" t="s">
        <v>2394</v>
      </c>
      <c r="E816" s="7" t="s">
        <v>2395</v>
      </c>
      <c r="F816" s="5"/>
      <c r="G816" s="5"/>
    </row>
    <row r="817" spans="1:7" ht="99" thickBot="1">
      <c r="A817" s="3">
        <v>815</v>
      </c>
      <c r="B817" s="3" t="s">
        <v>1666</v>
      </c>
      <c r="C817" s="6" t="s">
        <v>2396</v>
      </c>
      <c r="D817" s="6" t="s">
        <v>2397</v>
      </c>
      <c r="E817" s="7" t="s">
        <v>2398</v>
      </c>
      <c r="F817" s="5"/>
      <c r="G817" s="5"/>
    </row>
    <row r="818" spans="1:7" ht="99" thickBot="1">
      <c r="A818" s="3">
        <v>816</v>
      </c>
      <c r="B818" s="3" t="s">
        <v>1666</v>
      </c>
      <c r="C818" s="6" t="s">
        <v>2399</v>
      </c>
      <c r="D818" s="6" t="s">
        <v>2400</v>
      </c>
      <c r="E818" s="7" t="s">
        <v>2401</v>
      </c>
      <c r="F818" s="5"/>
      <c r="G818" s="5"/>
    </row>
    <row r="819" spans="1:7" ht="112.8" thickBot="1">
      <c r="A819" s="3">
        <v>817</v>
      </c>
      <c r="B819" s="3" t="s">
        <v>1666</v>
      </c>
      <c r="C819" s="6" t="s">
        <v>2402</v>
      </c>
      <c r="D819" s="6" t="s">
        <v>2403</v>
      </c>
      <c r="E819" s="7" t="s">
        <v>2404</v>
      </c>
      <c r="F819" s="5"/>
      <c r="G819" s="5"/>
    </row>
    <row r="820" spans="1:7" ht="112.8" thickBot="1">
      <c r="A820" s="3">
        <v>818</v>
      </c>
      <c r="B820" s="3" t="s">
        <v>1666</v>
      </c>
      <c r="C820" s="6" t="s">
        <v>2405</v>
      </c>
      <c r="D820" s="6" t="s">
        <v>2406</v>
      </c>
      <c r="E820" s="7" t="s">
        <v>2407</v>
      </c>
      <c r="F820" s="5"/>
      <c r="G820" s="5"/>
    </row>
    <row r="821" spans="1:7" ht="99" thickBot="1">
      <c r="A821" s="3">
        <v>819</v>
      </c>
      <c r="B821" s="3" t="s">
        <v>1666</v>
      </c>
      <c r="C821" s="6" t="s">
        <v>2408</v>
      </c>
      <c r="D821" s="6" t="s">
        <v>2409</v>
      </c>
      <c r="E821" s="7" t="s">
        <v>2410</v>
      </c>
      <c r="F821" s="5"/>
      <c r="G821" s="5"/>
    </row>
    <row r="822" spans="1:7" ht="99" thickBot="1">
      <c r="A822" s="3">
        <v>820</v>
      </c>
      <c r="B822" s="3" t="s">
        <v>1666</v>
      </c>
      <c r="C822" s="6" t="s">
        <v>2411</v>
      </c>
      <c r="D822" s="6" t="s">
        <v>2412</v>
      </c>
      <c r="E822" s="7" t="s">
        <v>2413</v>
      </c>
      <c r="F822" s="5"/>
      <c r="G822" s="5"/>
    </row>
    <row r="823" spans="1:7" ht="99" thickBot="1">
      <c r="A823" s="3">
        <v>821</v>
      </c>
      <c r="B823" s="3" t="s">
        <v>1666</v>
      </c>
      <c r="C823" s="6" t="s">
        <v>2414</v>
      </c>
      <c r="D823" s="6" t="s">
        <v>2415</v>
      </c>
      <c r="E823" s="7" t="s">
        <v>2416</v>
      </c>
      <c r="F823" s="5"/>
      <c r="G823" s="5"/>
    </row>
    <row r="824" spans="1:7" ht="99" thickBot="1">
      <c r="A824" s="3">
        <v>822</v>
      </c>
      <c r="B824" s="3" t="s">
        <v>1666</v>
      </c>
      <c r="C824" s="6" t="s">
        <v>2417</v>
      </c>
      <c r="D824" s="6" t="s">
        <v>2418</v>
      </c>
      <c r="E824" s="7" t="s">
        <v>2419</v>
      </c>
      <c r="F824" s="5"/>
      <c r="G824" s="5"/>
    </row>
    <row r="825" spans="1:7" ht="99" thickBot="1">
      <c r="A825" s="3">
        <v>823</v>
      </c>
      <c r="B825" s="3" t="s">
        <v>1666</v>
      </c>
      <c r="C825" s="6" t="s">
        <v>2420</v>
      </c>
      <c r="D825" s="6" t="s">
        <v>2421</v>
      </c>
      <c r="E825" s="7" t="s">
        <v>2422</v>
      </c>
      <c r="F825" s="5"/>
      <c r="G825" s="5"/>
    </row>
    <row r="826" spans="1:7" ht="99" thickBot="1">
      <c r="A826" s="3">
        <v>824</v>
      </c>
      <c r="B826" s="3" t="s">
        <v>1666</v>
      </c>
      <c r="C826" s="6" t="s">
        <v>2423</v>
      </c>
      <c r="D826" s="6" t="s">
        <v>2424</v>
      </c>
      <c r="E826" s="7" t="s">
        <v>2425</v>
      </c>
      <c r="F826" s="5"/>
      <c r="G826" s="5"/>
    </row>
    <row r="827" spans="1:7" ht="99" thickBot="1">
      <c r="A827" s="3">
        <v>825</v>
      </c>
      <c r="B827" s="3" t="s">
        <v>1666</v>
      </c>
      <c r="C827" s="6" t="s">
        <v>2426</v>
      </c>
      <c r="D827" s="6" t="s">
        <v>2427</v>
      </c>
      <c r="E827" s="7" t="s">
        <v>2428</v>
      </c>
      <c r="F827" s="5"/>
      <c r="G827" s="5"/>
    </row>
    <row r="828" spans="1:7" ht="112.8" thickBot="1">
      <c r="A828" s="3">
        <v>826</v>
      </c>
      <c r="B828" s="3" t="s">
        <v>1666</v>
      </c>
      <c r="C828" s="6" t="s">
        <v>2429</v>
      </c>
      <c r="D828" s="6" t="s">
        <v>2430</v>
      </c>
      <c r="E828" s="7" t="s">
        <v>2431</v>
      </c>
      <c r="F828" s="5"/>
      <c r="G828" s="5"/>
    </row>
    <row r="829" spans="1:7" ht="99" thickBot="1">
      <c r="A829" s="3">
        <v>827</v>
      </c>
      <c r="B829" s="3" t="s">
        <v>1666</v>
      </c>
      <c r="C829" s="6" t="s">
        <v>2432</v>
      </c>
      <c r="D829" s="6" t="s">
        <v>2367</v>
      </c>
      <c r="E829" s="7" t="s">
        <v>2433</v>
      </c>
      <c r="F829" s="5"/>
      <c r="G829" s="5"/>
    </row>
    <row r="830" spans="1:7" ht="112.8" thickBot="1">
      <c r="A830" s="3">
        <v>828</v>
      </c>
      <c r="B830" s="3" t="s">
        <v>1666</v>
      </c>
      <c r="C830" s="6" t="s">
        <v>2434</v>
      </c>
      <c r="D830" s="6" t="s">
        <v>2435</v>
      </c>
      <c r="E830" s="7" t="s">
        <v>2436</v>
      </c>
      <c r="F830" s="5"/>
      <c r="G830" s="5"/>
    </row>
    <row r="831" spans="1:7" ht="99" thickBot="1">
      <c r="A831" s="3">
        <v>829</v>
      </c>
      <c r="B831" s="3" t="s">
        <v>1666</v>
      </c>
      <c r="C831" s="6" t="s">
        <v>2437</v>
      </c>
      <c r="D831" s="6" t="s">
        <v>2438</v>
      </c>
      <c r="E831" s="7" t="s">
        <v>2439</v>
      </c>
      <c r="F831" s="5"/>
      <c r="G831" s="5"/>
    </row>
    <row r="832" spans="1:7" ht="112.8" thickBot="1">
      <c r="A832" s="3">
        <v>830</v>
      </c>
      <c r="B832" s="3" t="s">
        <v>1666</v>
      </c>
      <c r="C832" s="6" t="s">
        <v>2440</v>
      </c>
      <c r="D832" s="6" t="s">
        <v>2441</v>
      </c>
      <c r="E832" s="7" t="s">
        <v>2442</v>
      </c>
      <c r="F832" s="5"/>
      <c r="G832" s="5"/>
    </row>
    <row r="833" spans="1:7" ht="112.8" thickBot="1">
      <c r="A833" s="3">
        <v>831</v>
      </c>
      <c r="B833" s="3" t="s">
        <v>1666</v>
      </c>
      <c r="C833" s="6" t="s">
        <v>2443</v>
      </c>
      <c r="D833" s="6" t="s">
        <v>2444</v>
      </c>
      <c r="E833" s="7" t="s">
        <v>2445</v>
      </c>
      <c r="F833" s="5"/>
      <c r="G833" s="5"/>
    </row>
    <row r="834" spans="1:7" ht="99" thickBot="1">
      <c r="A834" s="3">
        <v>832</v>
      </c>
      <c r="B834" s="3" t="s">
        <v>1666</v>
      </c>
      <c r="C834" s="6" t="s">
        <v>2446</v>
      </c>
      <c r="D834" s="6" t="s">
        <v>2447</v>
      </c>
      <c r="E834" s="7" t="s">
        <v>2448</v>
      </c>
      <c r="F834" s="5"/>
      <c r="G834" s="5"/>
    </row>
    <row r="835" spans="1:7" ht="99" thickBot="1">
      <c r="A835" s="3">
        <v>833</v>
      </c>
      <c r="B835" s="3" t="s">
        <v>1666</v>
      </c>
      <c r="C835" s="6" t="s">
        <v>2449</v>
      </c>
      <c r="D835" s="6" t="s">
        <v>2450</v>
      </c>
      <c r="E835" s="7" t="s">
        <v>2451</v>
      </c>
      <c r="F835" s="5"/>
      <c r="G835" s="5"/>
    </row>
    <row r="836" spans="1:7" ht="112.8" thickBot="1">
      <c r="A836" s="3">
        <v>834</v>
      </c>
      <c r="B836" s="3" t="s">
        <v>1666</v>
      </c>
      <c r="C836" s="6" t="s">
        <v>2452</v>
      </c>
      <c r="D836" s="6" t="s">
        <v>2453</v>
      </c>
      <c r="E836" s="7" t="s">
        <v>2454</v>
      </c>
      <c r="F836" s="5"/>
      <c r="G836" s="5"/>
    </row>
    <row r="837" spans="1:7" ht="126.6" thickBot="1">
      <c r="A837" s="3">
        <v>835</v>
      </c>
      <c r="B837" s="3" t="s">
        <v>1666</v>
      </c>
      <c r="C837" s="6" t="s">
        <v>2455</v>
      </c>
      <c r="D837" s="6" t="s">
        <v>2456</v>
      </c>
      <c r="E837" s="7" t="s">
        <v>2457</v>
      </c>
      <c r="F837" s="5"/>
      <c r="G837" s="5"/>
    </row>
    <row r="838" spans="1:7" ht="99" thickBot="1">
      <c r="A838" s="3">
        <v>836</v>
      </c>
      <c r="B838" s="3" t="s">
        <v>1666</v>
      </c>
      <c r="C838" s="6" t="s">
        <v>2458</v>
      </c>
      <c r="D838" s="6" t="s">
        <v>2459</v>
      </c>
      <c r="E838" s="7" t="s">
        <v>2460</v>
      </c>
      <c r="F838" s="5"/>
      <c r="G838" s="5"/>
    </row>
    <row r="839" spans="1:7" ht="99" thickBot="1">
      <c r="A839" s="3">
        <v>837</v>
      </c>
      <c r="B839" s="3" t="s">
        <v>1666</v>
      </c>
      <c r="C839" s="6" t="s">
        <v>2461</v>
      </c>
      <c r="D839" s="6" t="s">
        <v>2462</v>
      </c>
      <c r="E839" s="7" t="s">
        <v>2463</v>
      </c>
      <c r="F839" s="5"/>
      <c r="G839" s="5"/>
    </row>
    <row r="840" spans="1:7" ht="112.8" thickBot="1">
      <c r="A840" s="3">
        <v>838</v>
      </c>
      <c r="B840" s="3" t="s">
        <v>1666</v>
      </c>
      <c r="C840" s="6" t="s">
        <v>2464</v>
      </c>
      <c r="D840" s="6" t="s">
        <v>2465</v>
      </c>
      <c r="E840" s="7" t="s">
        <v>2466</v>
      </c>
      <c r="F840" s="5"/>
      <c r="G840" s="5"/>
    </row>
    <row r="841" spans="1:7" ht="99" thickBot="1">
      <c r="A841" s="3">
        <v>839</v>
      </c>
      <c r="B841" s="3" t="s">
        <v>1666</v>
      </c>
      <c r="C841" s="6" t="s">
        <v>2467</v>
      </c>
      <c r="D841" s="6" t="s">
        <v>2468</v>
      </c>
      <c r="E841" s="7" t="s">
        <v>2469</v>
      </c>
      <c r="F841" s="5"/>
      <c r="G841" s="5"/>
    </row>
    <row r="842" spans="1:7" ht="99" thickBot="1">
      <c r="A842" s="3">
        <v>840</v>
      </c>
      <c r="B842" s="3" t="s">
        <v>1666</v>
      </c>
      <c r="C842" s="6" t="s">
        <v>2470</v>
      </c>
      <c r="D842" s="6" t="s">
        <v>2471</v>
      </c>
      <c r="E842" s="7" t="s">
        <v>2472</v>
      </c>
      <c r="F842" s="5"/>
      <c r="G842" s="5"/>
    </row>
    <row r="843" spans="1:7" ht="112.8" thickBot="1">
      <c r="A843" s="3">
        <v>841</v>
      </c>
      <c r="B843" s="3" t="s">
        <v>1666</v>
      </c>
      <c r="C843" s="6" t="s">
        <v>2473</v>
      </c>
      <c r="D843" s="6" t="s">
        <v>2474</v>
      </c>
      <c r="E843" s="7" t="s">
        <v>2475</v>
      </c>
      <c r="F843" s="5"/>
      <c r="G843" s="5"/>
    </row>
    <row r="844" spans="1:7" ht="112.8" thickBot="1">
      <c r="A844" s="3">
        <v>842</v>
      </c>
      <c r="B844" s="3" t="s">
        <v>1666</v>
      </c>
      <c r="C844" s="6" t="s">
        <v>2476</v>
      </c>
      <c r="D844" s="6" t="s">
        <v>2477</v>
      </c>
      <c r="E844" s="7" t="s">
        <v>2478</v>
      </c>
      <c r="F844" s="5"/>
      <c r="G844" s="5"/>
    </row>
    <row r="845" spans="1:7" ht="140.4" thickBot="1">
      <c r="A845" s="3">
        <v>843</v>
      </c>
      <c r="B845" s="3" t="s">
        <v>1666</v>
      </c>
      <c r="C845" s="6" t="s">
        <v>2479</v>
      </c>
      <c r="D845" s="6" t="s">
        <v>2480</v>
      </c>
      <c r="E845" s="7" t="s">
        <v>2481</v>
      </c>
      <c r="F845" s="5"/>
      <c r="G845" s="5"/>
    </row>
    <row r="846" spans="1:7" ht="112.8" thickBot="1">
      <c r="A846" s="3">
        <v>844</v>
      </c>
      <c r="B846" s="3" t="s">
        <v>1666</v>
      </c>
      <c r="C846" s="6" t="s">
        <v>2482</v>
      </c>
      <c r="D846" s="6" t="s">
        <v>2483</v>
      </c>
      <c r="E846" s="7" t="s">
        <v>2484</v>
      </c>
      <c r="F846" s="5"/>
      <c r="G846" s="5"/>
    </row>
    <row r="847" spans="1:7" ht="99" thickBot="1">
      <c r="A847" s="3">
        <v>845</v>
      </c>
      <c r="B847" s="3" t="s">
        <v>1666</v>
      </c>
      <c r="C847" s="6" t="s">
        <v>2485</v>
      </c>
      <c r="D847" s="6" t="s">
        <v>2486</v>
      </c>
      <c r="E847" s="7" t="s">
        <v>2487</v>
      </c>
      <c r="F847" s="5"/>
      <c r="G847" s="5"/>
    </row>
    <row r="848" spans="1:7" ht="99" thickBot="1">
      <c r="A848" s="3">
        <v>846</v>
      </c>
      <c r="B848" s="3" t="s">
        <v>1666</v>
      </c>
      <c r="C848" s="6" t="s">
        <v>2488</v>
      </c>
      <c r="D848" s="6" t="s">
        <v>2489</v>
      </c>
      <c r="E848" s="7" t="s">
        <v>2490</v>
      </c>
      <c r="F848" s="5"/>
      <c r="G848" s="5"/>
    </row>
    <row r="849" spans="1:7" ht="112.8" thickBot="1">
      <c r="A849" s="3">
        <v>847</v>
      </c>
      <c r="B849" s="3" t="s">
        <v>1666</v>
      </c>
      <c r="C849" s="6" t="s">
        <v>2491</v>
      </c>
      <c r="D849" s="6" t="s">
        <v>2492</v>
      </c>
      <c r="E849" s="7" t="s">
        <v>2493</v>
      </c>
      <c r="F849" s="5"/>
      <c r="G849" s="5"/>
    </row>
    <row r="850" spans="1:7" ht="99" thickBot="1">
      <c r="A850" s="3">
        <v>848</v>
      </c>
      <c r="B850" s="3" t="s">
        <v>1666</v>
      </c>
      <c r="C850" s="6" t="s">
        <v>2494</v>
      </c>
      <c r="D850" s="6" t="s">
        <v>2495</v>
      </c>
      <c r="E850" s="7" t="s">
        <v>2496</v>
      </c>
      <c r="F850" s="5"/>
      <c r="G850" s="5"/>
    </row>
    <row r="851" spans="1:7" ht="99" thickBot="1">
      <c r="A851" s="3">
        <v>849</v>
      </c>
      <c r="B851" s="3" t="s">
        <v>1666</v>
      </c>
      <c r="C851" s="6" t="s">
        <v>2497</v>
      </c>
      <c r="D851" s="6" t="s">
        <v>2498</v>
      </c>
      <c r="E851" s="7" t="s">
        <v>2499</v>
      </c>
      <c r="F851" s="5"/>
      <c r="G851" s="5"/>
    </row>
    <row r="852" spans="1:7" ht="99" thickBot="1">
      <c r="A852" s="3">
        <v>850</v>
      </c>
      <c r="B852" s="3" t="s">
        <v>1666</v>
      </c>
      <c r="C852" s="6" t="s">
        <v>2500</v>
      </c>
      <c r="D852" s="6" t="s">
        <v>2501</v>
      </c>
      <c r="E852" s="7" t="s">
        <v>2502</v>
      </c>
      <c r="F852" s="5"/>
      <c r="G852" s="5"/>
    </row>
    <row r="853" spans="1:7" ht="99" thickBot="1">
      <c r="A853" s="3">
        <v>851</v>
      </c>
      <c r="B853" s="3" t="s">
        <v>1666</v>
      </c>
      <c r="C853" s="6" t="s">
        <v>2503</v>
      </c>
      <c r="D853" s="6" t="s">
        <v>2294</v>
      </c>
      <c r="E853" s="7" t="s">
        <v>2504</v>
      </c>
      <c r="F853" s="5"/>
      <c r="G853" s="5"/>
    </row>
    <row r="854" spans="1:7" ht="112.8" thickBot="1">
      <c r="A854" s="3">
        <v>852</v>
      </c>
      <c r="B854" s="3" t="s">
        <v>1666</v>
      </c>
      <c r="C854" s="6" t="s">
        <v>2505</v>
      </c>
      <c r="D854" s="6" t="s">
        <v>2506</v>
      </c>
      <c r="E854" s="7" t="s">
        <v>2507</v>
      </c>
      <c r="F854" s="5"/>
      <c r="G854" s="5"/>
    </row>
    <row r="855" spans="1:7" ht="112.8" thickBot="1">
      <c r="A855" s="3">
        <v>853</v>
      </c>
      <c r="B855" s="3" t="s">
        <v>1666</v>
      </c>
      <c r="C855" s="6" t="s">
        <v>2508</v>
      </c>
      <c r="D855" s="6" t="s">
        <v>2509</v>
      </c>
      <c r="E855" s="7" t="s">
        <v>2178</v>
      </c>
      <c r="F855" s="5"/>
      <c r="G855" s="5"/>
    </row>
    <row r="856" spans="1:7" ht="99" thickBot="1">
      <c r="A856" s="3">
        <v>854</v>
      </c>
      <c r="B856" s="3" t="s">
        <v>1666</v>
      </c>
      <c r="C856" s="6" t="s">
        <v>2510</v>
      </c>
      <c r="D856" s="6" t="s">
        <v>2511</v>
      </c>
      <c r="E856" s="7" t="s">
        <v>2512</v>
      </c>
      <c r="F856" s="5"/>
      <c r="G856" s="5"/>
    </row>
    <row r="857" spans="1:7" ht="112.8" thickBot="1">
      <c r="A857" s="3">
        <v>855</v>
      </c>
      <c r="B857" s="3" t="s">
        <v>1666</v>
      </c>
      <c r="C857" s="6" t="s">
        <v>2513</v>
      </c>
      <c r="D857" s="6" t="s">
        <v>2514</v>
      </c>
      <c r="E857" s="7" t="s">
        <v>2515</v>
      </c>
      <c r="F857" s="5"/>
      <c r="G857" s="5"/>
    </row>
    <row r="858" spans="1:7" ht="112.8" thickBot="1">
      <c r="A858" s="3">
        <v>856</v>
      </c>
      <c r="B858" s="3" t="s">
        <v>1666</v>
      </c>
      <c r="C858" s="6" t="s">
        <v>2516</v>
      </c>
      <c r="D858" s="6" t="s">
        <v>2517</v>
      </c>
      <c r="E858" s="7" t="s">
        <v>1837</v>
      </c>
      <c r="F858" s="5"/>
      <c r="G858" s="5"/>
    </row>
    <row r="859" spans="1:7" ht="99" thickBot="1">
      <c r="A859" s="3">
        <v>857</v>
      </c>
      <c r="B859" s="3" t="s">
        <v>1666</v>
      </c>
      <c r="C859" s="6" t="s">
        <v>2518</v>
      </c>
      <c r="D859" s="6" t="s">
        <v>2519</v>
      </c>
      <c r="E859" s="7" t="s">
        <v>2520</v>
      </c>
      <c r="F859" s="5"/>
      <c r="G859" s="5"/>
    </row>
    <row r="860" spans="1:7" ht="112.8" thickBot="1">
      <c r="A860" s="3">
        <v>858</v>
      </c>
      <c r="B860" s="3" t="s">
        <v>1666</v>
      </c>
      <c r="C860" s="6" t="s">
        <v>2521</v>
      </c>
      <c r="D860" s="6" t="s">
        <v>2522</v>
      </c>
      <c r="E860" s="7" t="s">
        <v>2523</v>
      </c>
      <c r="F860" s="5"/>
      <c r="G860" s="5"/>
    </row>
    <row r="861" spans="1:7" ht="112.8" thickBot="1">
      <c r="A861" s="3">
        <v>859</v>
      </c>
      <c r="B861" s="3" t="s">
        <v>1666</v>
      </c>
      <c r="C861" s="6" t="s">
        <v>2524</v>
      </c>
      <c r="D861" s="6" t="s">
        <v>2525</v>
      </c>
      <c r="E861" s="7" t="s">
        <v>2526</v>
      </c>
      <c r="F861" s="5"/>
      <c r="G861" s="5"/>
    </row>
    <row r="862" spans="1:7" ht="99" thickBot="1">
      <c r="A862" s="3">
        <v>860</v>
      </c>
      <c r="B862" s="3" t="s">
        <v>1666</v>
      </c>
      <c r="C862" s="6" t="s">
        <v>2527</v>
      </c>
      <c r="D862" s="6" t="s">
        <v>2528</v>
      </c>
      <c r="E862" s="7" t="s">
        <v>2529</v>
      </c>
      <c r="F862" s="5"/>
      <c r="G862" s="5"/>
    </row>
    <row r="863" spans="1:7" ht="112.8" thickBot="1">
      <c r="A863" s="3">
        <v>861</v>
      </c>
      <c r="B863" s="3" t="s">
        <v>1666</v>
      </c>
      <c r="C863" s="6" t="s">
        <v>2530</v>
      </c>
      <c r="D863" s="6" t="s">
        <v>2531</v>
      </c>
      <c r="E863" s="7" t="s">
        <v>2532</v>
      </c>
      <c r="F863" s="5"/>
      <c r="G863" s="5"/>
    </row>
    <row r="864" spans="1:7" ht="99" thickBot="1">
      <c r="A864" s="3">
        <v>862</v>
      </c>
      <c r="B864" s="3" t="s">
        <v>1666</v>
      </c>
      <c r="C864" s="6" t="s">
        <v>2533</v>
      </c>
      <c r="D864" s="6" t="s">
        <v>2534</v>
      </c>
      <c r="E864" s="7" t="s">
        <v>2535</v>
      </c>
      <c r="F864" s="5"/>
      <c r="G864" s="5"/>
    </row>
    <row r="865" spans="1:7" ht="112.8" thickBot="1">
      <c r="A865" s="3">
        <v>863</v>
      </c>
      <c r="B865" s="3" t="s">
        <v>1666</v>
      </c>
      <c r="C865" s="6" t="s">
        <v>2536</v>
      </c>
      <c r="D865" s="6" t="s">
        <v>2537</v>
      </c>
      <c r="E865" s="7" t="s">
        <v>2538</v>
      </c>
      <c r="F865" s="5"/>
      <c r="G865" s="5"/>
    </row>
    <row r="866" spans="1:7" ht="99" thickBot="1">
      <c r="A866" s="3">
        <v>864</v>
      </c>
      <c r="B866" s="3" t="s">
        <v>1666</v>
      </c>
      <c r="C866" s="6" t="s">
        <v>2539</v>
      </c>
      <c r="D866" s="6" t="s">
        <v>2540</v>
      </c>
      <c r="E866" s="7" t="s">
        <v>2541</v>
      </c>
      <c r="F866" s="5"/>
      <c r="G866" s="5"/>
    </row>
    <row r="867" spans="1:7" ht="99" thickBot="1">
      <c r="A867" s="3">
        <v>865</v>
      </c>
      <c r="B867" s="3" t="s">
        <v>1666</v>
      </c>
      <c r="C867" s="6" t="s">
        <v>2542</v>
      </c>
      <c r="D867" s="6" t="s">
        <v>2543</v>
      </c>
      <c r="E867" s="7" t="s">
        <v>2544</v>
      </c>
      <c r="F867" s="5"/>
      <c r="G867" s="5"/>
    </row>
    <row r="868" spans="1:7" ht="140.4" thickBot="1">
      <c r="A868" s="3">
        <v>866</v>
      </c>
      <c r="B868" s="3" t="s">
        <v>1666</v>
      </c>
      <c r="C868" s="6" t="s">
        <v>2545</v>
      </c>
      <c r="D868" s="6" t="s">
        <v>2546</v>
      </c>
      <c r="E868" s="7" t="s">
        <v>2547</v>
      </c>
      <c r="F868" s="5"/>
      <c r="G868" s="5"/>
    </row>
    <row r="869" spans="1:7" ht="99" thickBot="1">
      <c r="A869" s="3">
        <v>867</v>
      </c>
      <c r="B869" s="3" t="s">
        <v>1666</v>
      </c>
      <c r="C869" s="6" t="s">
        <v>2548</v>
      </c>
      <c r="D869" s="6" t="s">
        <v>2549</v>
      </c>
      <c r="E869" s="7" t="s">
        <v>2550</v>
      </c>
      <c r="F869" s="5"/>
      <c r="G869" s="5"/>
    </row>
    <row r="870" spans="1:7" ht="99" thickBot="1">
      <c r="A870" s="3">
        <v>868</v>
      </c>
      <c r="B870" s="3" t="s">
        <v>1666</v>
      </c>
      <c r="C870" s="6" t="s">
        <v>2551</v>
      </c>
      <c r="D870" s="6" t="s">
        <v>2178</v>
      </c>
      <c r="E870" s="7" t="s">
        <v>2552</v>
      </c>
      <c r="F870" s="5"/>
      <c r="G870" s="5"/>
    </row>
    <row r="871" spans="1:7" ht="99" thickBot="1">
      <c r="A871" s="3">
        <v>869</v>
      </c>
      <c r="B871" s="3" t="s">
        <v>1666</v>
      </c>
      <c r="C871" s="6" t="s">
        <v>2553</v>
      </c>
      <c r="D871" s="6" t="s">
        <v>2554</v>
      </c>
      <c r="E871" s="7" t="s">
        <v>2555</v>
      </c>
      <c r="F871" s="5"/>
      <c r="G871" s="5"/>
    </row>
    <row r="872" spans="1:7" ht="112.8" thickBot="1">
      <c r="A872" s="3">
        <v>870</v>
      </c>
      <c r="B872" s="3" t="s">
        <v>1666</v>
      </c>
      <c r="C872" s="6" t="s">
        <v>2556</v>
      </c>
      <c r="D872" s="6" t="s">
        <v>2557</v>
      </c>
      <c r="E872" s="7" t="s">
        <v>2558</v>
      </c>
      <c r="F872" s="5"/>
      <c r="G872" s="5"/>
    </row>
    <row r="873" spans="1:7" ht="99" thickBot="1">
      <c r="A873" s="3">
        <v>871</v>
      </c>
      <c r="B873" s="3" t="s">
        <v>1666</v>
      </c>
      <c r="C873" s="6" t="s">
        <v>2559</v>
      </c>
      <c r="D873" s="6" t="s">
        <v>2560</v>
      </c>
      <c r="E873" s="7" t="s">
        <v>2561</v>
      </c>
      <c r="F873" s="5"/>
      <c r="G873" s="5"/>
    </row>
    <row r="874" spans="1:7" ht="99" thickBot="1">
      <c r="A874" s="3">
        <v>872</v>
      </c>
      <c r="B874" s="3" t="s">
        <v>1666</v>
      </c>
      <c r="C874" s="6" t="s">
        <v>2562</v>
      </c>
      <c r="D874" s="6" t="s">
        <v>2563</v>
      </c>
      <c r="E874" s="7" t="s">
        <v>2564</v>
      </c>
      <c r="F874" s="5"/>
      <c r="G874" s="5"/>
    </row>
    <row r="875" spans="1:7" ht="126.6" thickBot="1">
      <c r="A875" s="3">
        <v>873</v>
      </c>
      <c r="B875" s="3" t="s">
        <v>1666</v>
      </c>
      <c r="C875" s="6" t="s">
        <v>2565</v>
      </c>
      <c r="D875" s="6" t="s">
        <v>2566</v>
      </c>
      <c r="E875" s="7" t="s">
        <v>2567</v>
      </c>
      <c r="F875" s="5"/>
      <c r="G875" s="5"/>
    </row>
    <row r="876" spans="1:7" ht="112.8" thickBot="1">
      <c r="A876" s="3">
        <v>874</v>
      </c>
      <c r="B876" s="3" t="s">
        <v>1666</v>
      </c>
      <c r="C876" s="6" t="s">
        <v>2568</v>
      </c>
      <c r="D876" s="6" t="s">
        <v>2569</v>
      </c>
      <c r="E876" s="7" t="s">
        <v>2570</v>
      </c>
      <c r="F876" s="5"/>
      <c r="G876" s="5"/>
    </row>
    <row r="877" spans="1:7" ht="99" thickBot="1">
      <c r="A877" s="3">
        <v>875</v>
      </c>
      <c r="B877" s="3" t="s">
        <v>1666</v>
      </c>
      <c r="C877" s="6" t="s">
        <v>2571</v>
      </c>
      <c r="D877" s="6" t="s">
        <v>2192</v>
      </c>
      <c r="E877" s="7" t="s">
        <v>2572</v>
      </c>
      <c r="F877" s="5"/>
      <c r="G877" s="5"/>
    </row>
    <row r="878" spans="1:7" ht="112.8" thickBot="1">
      <c r="A878" s="3">
        <v>876</v>
      </c>
      <c r="B878" s="3" t="s">
        <v>1666</v>
      </c>
      <c r="C878" s="6" t="s">
        <v>2573</v>
      </c>
      <c r="D878" s="6" t="s">
        <v>2574</v>
      </c>
      <c r="E878" s="7" t="s">
        <v>2575</v>
      </c>
      <c r="F878" s="5"/>
      <c r="G878" s="5"/>
    </row>
    <row r="879" spans="1:7" ht="99" thickBot="1">
      <c r="A879" s="3">
        <v>877</v>
      </c>
      <c r="B879" s="3" t="s">
        <v>1666</v>
      </c>
      <c r="C879" s="6" t="s">
        <v>2576</v>
      </c>
      <c r="D879" s="6" t="s">
        <v>2577</v>
      </c>
      <c r="E879" s="7" t="s">
        <v>2578</v>
      </c>
      <c r="F879" s="5"/>
      <c r="G879" s="5"/>
    </row>
    <row r="880" spans="1:7" ht="112.8" thickBot="1">
      <c r="A880" s="3">
        <v>878</v>
      </c>
      <c r="B880" s="3" t="s">
        <v>1666</v>
      </c>
      <c r="C880" s="6" t="s">
        <v>2579</v>
      </c>
      <c r="D880" s="6" t="s">
        <v>2580</v>
      </c>
      <c r="E880" s="7" t="s">
        <v>2581</v>
      </c>
      <c r="F880" s="5"/>
      <c r="G880" s="5"/>
    </row>
    <row r="881" spans="1:7" ht="99" thickBot="1">
      <c r="A881" s="3">
        <v>879</v>
      </c>
      <c r="B881" s="3" t="s">
        <v>1666</v>
      </c>
      <c r="C881" s="6" t="s">
        <v>2582</v>
      </c>
      <c r="D881" s="6" t="s">
        <v>2583</v>
      </c>
      <c r="E881" s="7" t="s">
        <v>2584</v>
      </c>
      <c r="F881" s="5"/>
      <c r="G881" s="5"/>
    </row>
    <row r="882" spans="1:7" ht="112.8" thickBot="1">
      <c r="A882" s="3">
        <v>880</v>
      </c>
      <c r="B882" s="3" t="s">
        <v>1666</v>
      </c>
      <c r="C882" s="6" t="s">
        <v>2585</v>
      </c>
      <c r="D882" s="6" t="s">
        <v>2586</v>
      </c>
      <c r="E882" s="7" t="s">
        <v>2587</v>
      </c>
      <c r="F882" s="5"/>
      <c r="G882" s="5"/>
    </row>
    <row r="883" spans="1:7" ht="99" thickBot="1">
      <c r="A883" s="3">
        <v>881</v>
      </c>
      <c r="B883" s="3" t="s">
        <v>1666</v>
      </c>
      <c r="C883" s="6" t="s">
        <v>2588</v>
      </c>
      <c r="D883" s="6" t="s">
        <v>2589</v>
      </c>
      <c r="E883" s="7" t="s">
        <v>2590</v>
      </c>
      <c r="F883" s="5"/>
      <c r="G883" s="5"/>
    </row>
    <row r="884" spans="1:7" ht="112.8" thickBot="1">
      <c r="A884" s="3">
        <v>882</v>
      </c>
      <c r="B884" s="3" t="s">
        <v>1666</v>
      </c>
      <c r="C884" s="6" t="s">
        <v>2591</v>
      </c>
      <c r="D884" s="6" t="s">
        <v>2592</v>
      </c>
      <c r="E884" s="7" t="s">
        <v>2593</v>
      </c>
      <c r="F884" s="5"/>
      <c r="G884" s="5"/>
    </row>
    <row r="885" spans="1:7" ht="112.8" thickBot="1">
      <c r="A885" s="3">
        <v>883</v>
      </c>
      <c r="B885" s="3" t="s">
        <v>1666</v>
      </c>
      <c r="C885" s="6" t="s">
        <v>2594</v>
      </c>
      <c r="D885" s="6" t="s">
        <v>2595</v>
      </c>
      <c r="E885" s="7" t="s">
        <v>2596</v>
      </c>
      <c r="F885" s="5"/>
      <c r="G885" s="5"/>
    </row>
    <row r="886" spans="1:7" ht="112.8" thickBot="1">
      <c r="A886" s="3">
        <v>884</v>
      </c>
      <c r="B886" s="3" t="s">
        <v>1666</v>
      </c>
      <c r="C886" s="6" t="s">
        <v>2597</v>
      </c>
      <c r="D886" s="6" t="s">
        <v>2598</v>
      </c>
      <c r="E886" s="7" t="s">
        <v>2599</v>
      </c>
      <c r="F886" s="5"/>
      <c r="G886" s="5"/>
    </row>
    <row r="887" spans="1:7" ht="99" thickBot="1">
      <c r="A887" s="3">
        <v>885</v>
      </c>
      <c r="B887" s="3" t="s">
        <v>1666</v>
      </c>
      <c r="C887" s="6" t="s">
        <v>2600</v>
      </c>
      <c r="D887" s="6" t="s">
        <v>2601</v>
      </c>
      <c r="E887" s="7" t="s">
        <v>2602</v>
      </c>
      <c r="F887" s="5"/>
      <c r="G887" s="5"/>
    </row>
    <row r="888" spans="1:7" ht="112.8" thickBot="1">
      <c r="A888" s="3">
        <v>886</v>
      </c>
      <c r="B888" s="3" t="s">
        <v>1666</v>
      </c>
      <c r="C888" s="6" t="s">
        <v>2603</v>
      </c>
      <c r="D888" s="6" t="s">
        <v>2604</v>
      </c>
      <c r="E888" s="7" t="s">
        <v>2605</v>
      </c>
      <c r="F888" s="5"/>
      <c r="G888" s="5"/>
    </row>
    <row r="889" spans="1:7" ht="99" thickBot="1">
      <c r="A889" s="3">
        <v>887</v>
      </c>
      <c r="B889" s="3" t="s">
        <v>1666</v>
      </c>
      <c r="C889" s="6" t="s">
        <v>2606</v>
      </c>
      <c r="D889" s="6" t="s">
        <v>2607</v>
      </c>
      <c r="E889" s="7" t="s">
        <v>2608</v>
      </c>
      <c r="F889" s="5"/>
      <c r="G889" s="5"/>
    </row>
    <row r="890" spans="1:7" ht="112.8" thickBot="1">
      <c r="A890" s="3">
        <v>888</v>
      </c>
      <c r="B890" s="3" t="s">
        <v>1666</v>
      </c>
      <c r="C890" s="6" t="s">
        <v>2609</v>
      </c>
      <c r="D890" s="6" t="s">
        <v>2610</v>
      </c>
      <c r="E890" s="7" t="s">
        <v>2611</v>
      </c>
      <c r="F890" s="5"/>
      <c r="G890" s="5"/>
    </row>
    <row r="891" spans="1:7" ht="99" thickBot="1">
      <c r="A891" s="3">
        <v>889</v>
      </c>
      <c r="B891" s="3" t="s">
        <v>1666</v>
      </c>
      <c r="C891" s="6" t="s">
        <v>2612</v>
      </c>
      <c r="D891" s="6" t="s">
        <v>2613</v>
      </c>
      <c r="E891" s="7" t="s">
        <v>2614</v>
      </c>
      <c r="F891" s="5"/>
      <c r="G891" s="5"/>
    </row>
    <row r="892" spans="1:7" ht="99" thickBot="1">
      <c r="A892" s="3">
        <v>890</v>
      </c>
      <c r="B892" s="3" t="s">
        <v>1666</v>
      </c>
      <c r="C892" s="6" t="s">
        <v>2615</v>
      </c>
      <c r="D892" s="6" t="s">
        <v>2616</v>
      </c>
      <c r="E892" s="7" t="s">
        <v>2617</v>
      </c>
      <c r="F892" s="5"/>
      <c r="G892" s="5"/>
    </row>
    <row r="893" spans="1:7" ht="112.8" thickBot="1">
      <c r="A893" s="3">
        <v>891</v>
      </c>
      <c r="B893" s="3" t="s">
        <v>1666</v>
      </c>
      <c r="C893" s="6" t="s">
        <v>2618</v>
      </c>
      <c r="D893" s="6" t="s">
        <v>2619</v>
      </c>
      <c r="E893" s="7" t="s">
        <v>2620</v>
      </c>
      <c r="F893" s="5"/>
      <c r="G893" s="5"/>
    </row>
    <row r="894" spans="1:7" ht="112.8" thickBot="1">
      <c r="A894" s="3">
        <v>892</v>
      </c>
      <c r="B894" s="3" t="s">
        <v>1666</v>
      </c>
      <c r="C894" s="6" t="s">
        <v>2621</v>
      </c>
      <c r="D894" s="6" t="s">
        <v>2622</v>
      </c>
      <c r="E894" s="7" t="s">
        <v>2623</v>
      </c>
      <c r="F894" s="5"/>
      <c r="G894" s="5"/>
    </row>
    <row r="895" spans="1:7" ht="99" thickBot="1">
      <c r="A895" s="3">
        <v>893</v>
      </c>
      <c r="B895" s="3" t="s">
        <v>1666</v>
      </c>
      <c r="C895" s="6" t="s">
        <v>2624</v>
      </c>
      <c r="D895" s="6" t="s">
        <v>2625</v>
      </c>
      <c r="E895" s="7" t="s">
        <v>2626</v>
      </c>
      <c r="F895" s="5"/>
      <c r="G895" s="5"/>
    </row>
    <row r="896" spans="1:7" ht="99" thickBot="1">
      <c r="A896" s="3">
        <v>894</v>
      </c>
      <c r="B896" s="3" t="s">
        <v>1666</v>
      </c>
      <c r="C896" s="6" t="s">
        <v>2627</v>
      </c>
      <c r="D896" s="6" t="s">
        <v>2628</v>
      </c>
      <c r="E896" s="7" t="s">
        <v>2629</v>
      </c>
      <c r="F896" s="5"/>
      <c r="G896" s="5"/>
    </row>
    <row r="897" spans="1:7" ht="99" thickBot="1">
      <c r="A897" s="3">
        <v>895</v>
      </c>
      <c r="B897" s="3" t="s">
        <v>1666</v>
      </c>
      <c r="C897" s="6" t="s">
        <v>2630</v>
      </c>
      <c r="D897" s="6" t="s">
        <v>2631</v>
      </c>
      <c r="E897" s="7" t="s">
        <v>2632</v>
      </c>
      <c r="F897" s="5"/>
      <c r="G897" s="5"/>
    </row>
    <row r="898" spans="1:7" ht="99" thickBot="1">
      <c r="A898" s="3">
        <v>896</v>
      </c>
      <c r="B898" s="3" t="s">
        <v>1666</v>
      </c>
      <c r="C898" s="6" t="s">
        <v>2633</v>
      </c>
      <c r="D898" s="6" t="s">
        <v>2634</v>
      </c>
      <c r="E898" s="7" t="s">
        <v>2635</v>
      </c>
      <c r="F898" s="5"/>
      <c r="G898" s="5"/>
    </row>
    <row r="899" spans="1:7" ht="112.8" thickBot="1">
      <c r="A899" s="3">
        <v>897</v>
      </c>
      <c r="B899" s="3" t="s">
        <v>1666</v>
      </c>
      <c r="C899" s="6" t="s">
        <v>2636</v>
      </c>
      <c r="D899" s="6" t="s">
        <v>2637</v>
      </c>
      <c r="E899" s="7" t="s">
        <v>2638</v>
      </c>
      <c r="F899" s="5"/>
      <c r="G899" s="5"/>
    </row>
    <row r="900" spans="1:7" ht="112.8" thickBot="1">
      <c r="A900" s="3">
        <v>898</v>
      </c>
      <c r="B900" s="3" t="s">
        <v>1666</v>
      </c>
      <c r="C900" s="6" t="s">
        <v>2639</v>
      </c>
      <c r="D900" s="6" t="s">
        <v>2640</v>
      </c>
      <c r="E900" s="7" t="s">
        <v>2641</v>
      </c>
      <c r="F900" s="5"/>
      <c r="G900" s="5"/>
    </row>
    <row r="901" spans="1:7" ht="112.8" thickBot="1">
      <c r="A901" s="3">
        <v>899</v>
      </c>
      <c r="B901" s="3" t="s">
        <v>1666</v>
      </c>
      <c r="C901" s="6" t="s">
        <v>2642</v>
      </c>
      <c r="D901" s="6" t="s">
        <v>2643</v>
      </c>
      <c r="E901" s="7" t="s">
        <v>2644</v>
      </c>
      <c r="F901" s="5"/>
      <c r="G901" s="5"/>
    </row>
    <row r="902" spans="1:7" ht="112.8" thickBot="1">
      <c r="A902" s="3">
        <v>900</v>
      </c>
      <c r="B902" s="3" t="s">
        <v>1666</v>
      </c>
      <c r="C902" s="6" t="s">
        <v>2645</v>
      </c>
      <c r="D902" s="6" t="s">
        <v>2646</v>
      </c>
      <c r="E902" s="7" t="s">
        <v>2647</v>
      </c>
      <c r="F902" s="5"/>
      <c r="G902" s="5"/>
    </row>
    <row r="903" spans="1:7" ht="99" thickBot="1">
      <c r="A903" s="3">
        <v>901</v>
      </c>
      <c r="B903" s="3" t="s">
        <v>1666</v>
      </c>
      <c r="C903" s="6" t="s">
        <v>2648</v>
      </c>
      <c r="D903" s="6" t="s">
        <v>2649</v>
      </c>
      <c r="E903" s="7" t="s">
        <v>1939</v>
      </c>
      <c r="F903" s="5"/>
      <c r="G903" s="5"/>
    </row>
    <row r="904" spans="1:7" ht="99" thickBot="1">
      <c r="A904" s="3">
        <v>902</v>
      </c>
      <c r="B904" s="3" t="s">
        <v>1666</v>
      </c>
      <c r="C904" s="6" t="s">
        <v>2650</v>
      </c>
      <c r="D904" s="6" t="s">
        <v>2651</v>
      </c>
      <c r="E904" s="7" t="s">
        <v>2652</v>
      </c>
      <c r="F904" s="5"/>
      <c r="G904" s="5"/>
    </row>
    <row r="905" spans="1:7" ht="99" thickBot="1">
      <c r="A905" s="3">
        <v>903</v>
      </c>
      <c r="B905" s="3" t="s">
        <v>1666</v>
      </c>
      <c r="C905" s="6" t="s">
        <v>2653</v>
      </c>
      <c r="D905" s="6" t="s">
        <v>2654</v>
      </c>
      <c r="E905" s="7" t="s">
        <v>2655</v>
      </c>
      <c r="F905" s="5"/>
      <c r="G905" s="5"/>
    </row>
    <row r="906" spans="1:7" ht="99" thickBot="1">
      <c r="A906" s="3">
        <v>904</v>
      </c>
      <c r="B906" s="3" t="s">
        <v>1666</v>
      </c>
      <c r="C906" s="6" t="s">
        <v>2656</v>
      </c>
      <c r="D906" s="6" t="s">
        <v>2657</v>
      </c>
      <c r="E906" s="7" t="s">
        <v>2658</v>
      </c>
      <c r="F906" s="5"/>
      <c r="G906" s="5"/>
    </row>
    <row r="907" spans="1:7" ht="112.8" thickBot="1">
      <c r="A907" s="3">
        <v>905</v>
      </c>
      <c r="B907" s="3" t="s">
        <v>1666</v>
      </c>
      <c r="C907" s="6" t="s">
        <v>2659</v>
      </c>
      <c r="D907" s="6" t="s">
        <v>2660</v>
      </c>
      <c r="E907" s="7" t="s">
        <v>2661</v>
      </c>
      <c r="F907" s="5"/>
      <c r="G907" s="5"/>
    </row>
    <row r="908" spans="1:7" ht="99" thickBot="1">
      <c r="A908" s="3">
        <v>906</v>
      </c>
      <c r="B908" s="3" t="s">
        <v>1666</v>
      </c>
      <c r="C908" s="6" t="s">
        <v>2662</v>
      </c>
      <c r="D908" s="6" t="s">
        <v>2663</v>
      </c>
      <c r="E908" s="7" t="s">
        <v>2664</v>
      </c>
      <c r="F908" s="5"/>
      <c r="G908" s="5"/>
    </row>
    <row r="909" spans="1:7" ht="99" thickBot="1">
      <c r="A909" s="3">
        <v>907</v>
      </c>
      <c r="B909" s="3" t="s">
        <v>1666</v>
      </c>
      <c r="C909" s="6" t="s">
        <v>2665</v>
      </c>
      <c r="D909" s="6" t="s">
        <v>2666</v>
      </c>
      <c r="E909" s="7" t="s">
        <v>2667</v>
      </c>
      <c r="F909" s="5"/>
      <c r="G909" s="5"/>
    </row>
    <row r="910" spans="1:7" ht="112.8" thickBot="1">
      <c r="A910" s="3">
        <v>908</v>
      </c>
      <c r="B910" s="3" t="s">
        <v>1666</v>
      </c>
      <c r="C910" s="6" t="s">
        <v>2668</v>
      </c>
      <c r="D910" s="6" t="s">
        <v>2669</v>
      </c>
      <c r="E910" s="7" t="s">
        <v>2670</v>
      </c>
      <c r="F910" s="5"/>
      <c r="G910" s="5"/>
    </row>
    <row r="911" spans="1:7" ht="99" thickBot="1">
      <c r="A911" s="3">
        <v>909</v>
      </c>
      <c r="B911" s="3" t="s">
        <v>1666</v>
      </c>
      <c r="C911" s="6" t="s">
        <v>2671</v>
      </c>
      <c r="D911" s="6" t="s">
        <v>2672</v>
      </c>
      <c r="E911" s="7" t="s">
        <v>1918</v>
      </c>
      <c r="F911" s="5"/>
      <c r="G911" s="5"/>
    </row>
    <row r="912" spans="1:7" ht="99" thickBot="1">
      <c r="A912" s="3">
        <v>910</v>
      </c>
      <c r="B912" s="3" t="s">
        <v>1666</v>
      </c>
      <c r="C912" s="6" t="s">
        <v>2673</v>
      </c>
      <c r="D912" s="6" t="s">
        <v>2674</v>
      </c>
      <c r="E912" s="7" t="s">
        <v>2675</v>
      </c>
      <c r="F912" s="5"/>
      <c r="G912" s="5"/>
    </row>
    <row r="913" spans="1:7" ht="99" thickBot="1">
      <c r="A913" s="3">
        <v>911</v>
      </c>
      <c r="B913" s="3" t="s">
        <v>1666</v>
      </c>
      <c r="C913" s="6" t="s">
        <v>2676</v>
      </c>
      <c r="D913" s="6" t="s">
        <v>2677</v>
      </c>
      <c r="E913" s="7" t="s">
        <v>2678</v>
      </c>
      <c r="F913" s="5"/>
      <c r="G913" s="5"/>
    </row>
    <row r="914" spans="1:7" ht="99" thickBot="1">
      <c r="A914" s="3">
        <v>912</v>
      </c>
      <c r="B914" s="3" t="s">
        <v>1666</v>
      </c>
      <c r="C914" s="6" t="s">
        <v>2679</v>
      </c>
      <c r="D914" s="6" t="s">
        <v>2680</v>
      </c>
      <c r="E914" s="7" t="s">
        <v>2681</v>
      </c>
      <c r="F914" s="5"/>
      <c r="G914" s="5"/>
    </row>
    <row r="915" spans="1:7" ht="99" thickBot="1">
      <c r="A915" s="3">
        <v>913</v>
      </c>
      <c r="B915" s="3" t="s">
        <v>1666</v>
      </c>
      <c r="C915" s="6" t="s">
        <v>2682</v>
      </c>
      <c r="D915" s="6" t="s">
        <v>2683</v>
      </c>
      <c r="E915" s="7" t="s">
        <v>2684</v>
      </c>
      <c r="F915" s="5"/>
      <c r="G915" s="5"/>
    </row>
    <row r="916" spans="1:7" ht="99" thickBot="1">
      <c r="A916" s="3">
        <v>914</v>
      </c>
      <c r="B916" s="3" t="s">
        <v>1666</v>
      </c>
      <c r="C916" s="6" t="s">
        <v>2685</v>
      </c>
      <c r="D916" s="6" t="s">
        <v>2686</v>
      </c>
      <c r="E916" s="7" t="s">
        <v>2687</v>
      </c>
      <c r="F916" s="5"/>
      <c r="G916" s="5"/>
    </row>
    <row r="917" spans="1:7" ht="99" thickBot="1">
      <c r="A917" s="3">
        <v>915</v>
      </c>
      <c r="B917" s="3" t="s">
        <v>1666</v>
      </c>
      <c r="C917" s="6" t="s">
        <v>2688</v>
      </c>
      <c r="D917" s="6" t="s">
        <v>2689</v>
      </c>
      <c r="E917" s="7" t="s">
        <v>2690</v>
      </c>
      <c r="F917" s="5"/>
      <c r="G917" s="5"/>
    </row>
    <row r="918" spans="1:7" ht="168" thickBot="1">
      <c r="A918" s="3">
        <v>916</v>
      </c>
      <c r="B918" s="3" t="s">
        <v>1666</v>
      </c>
      <c r="C918" s="6" t="s">
        <v>2691</v>
      </c>
      <c r="D918" s="6" t="s">
        <v>2692</v>
      </c>
      <c r="E918" s="7" t="s">
        <v>2693</v>
      </c>
      <c r="F918" s="5"/>
      <c r="G918" s="5"/>
    </row>
    <row r="919" spans="1:7" ht="126.6" thickBot="1">
      <c r="A919" s="3">
        <v>917</v>
      </c>
      <c r="B919" s="3" t="s">
        <v>1666</v>
      </c>
      <c r="C919" s="6" t="s">
        <v>2694</v>
      </c>
      <c r="D919" s="6" t="s">
        <v>2695</v>
      </c>
      <c r="E919" s="7" t="s">
        <v>2696</v>
      </c>
      <c r="F919" s="5"/>
      <c r="G919" s="5"/>
    </row>
    <row r="920" spans="1:7" ht="112.8" thickBot="1">
      <c r="A920" s="3">
        <v>918</v>
      </c>
      <c r="B920" s="3" t="s">
        <v>1666</v>
      </c>
      <c r="C920" s="6" t="s">
        <v>2697</v>
      </c>
      <c r="D920" s="6" t="s">
        <v>2698</v>
      </c>
      <c r="E920" s="7" t="s">
        <v>2459</v>
      </c>
      <c r="F920" s="5"/>
      <c r="G920" s="5"/>
    </row>
    <row r="921" spans="1:7" ht="112.8" thickBot="1">
      <c r="A921" s="3">
        <v>919</v>
      </c>
      <c r="B921" s="3" t="s">
        <v>1666</v>
      </c>
      <c r="C921" s="6" t="s">
        <v>2699</v>
      </c>
      <c r="D921" s="6" t="s">
        <v>2700</v>
      </c>
      <c r="E921" s="7" t="s">
        <v>2701</v>
      </c>
      <c r="F921" s="5"/>
      <c r="G921" s="5"/>
    </row>
    <row r="922" spans="1:7" ht="99" thickBot="1">
      <c r="A922" s="3">
        <v>920</v>
      </c>
      <c r="B922" s="3" t="s">
        <v>1666</v>
      </c>
      <c r="C922" s="6" t="s">
        <v>2702</v>
      </c>
      <c r="D922" s="6" t="s">
        <v>2703</v>
      </c>
      <c r="E922" s="7" t="s">
        <v>2704</v>
      </c>
      <c r="F922" s="5"/>
      <c r="G922" s="5"/>
    </row>
    <row r="923" spans="1:7" ht="112.8" thickBot="1">
      <c r="A923" s="3">
        <v>921</v>
      </c>
      <c r="B923" s="3" t="s">
        <v>1666</v>
      </c>
      <c r="C923" s="6" t="s">
        <v>2705</v>
      </c>
      <c r="D923" s="6" t="s">
        <v>2706</v>
      </c>
      <c r="E923" s="7" t="s">
        <v>2707</v>
      </c>
      <c r="F923" s="5"/>
      <c r="G923" s="5"/>
    </row>
    <row r="924" spans="1:7" ht="99" thickBot="1">
      <c r="A924" s="3">
        <v>922</v>
      </c>
      <c r="B924" s="3" t="s">
        <v>1666</v>
      </c>
      <c r="C924" s="6" t="s">
        <v>2708</v>
      </c>
      <c r="D924" s="6" t="s">
        <v>2709</v>
      </c>
      <c r="E924" s="7" t="s">
        <v>2710</v>
      </c>
      <c r="F924" s="5"/>
      <c r="G924" s="5"/>
    </row>
    <row r="925" spans="1:7" ht="112.8" thickBot="1">
      <c r="A925" s="3">
        <v>923</v>
      </c>
      <c r="B925" s="3" t="s">
        <v>1666</v>
      </c>
      <c r="C925" s="6" t="s">
        <v>2711</v>
      </c>
      <c r="D925" s="6" t="s">
        <v>2712</v>
      </c>
      <c r="E925" s="7" t="s">
        <v>2713</v>
      </c>
      <c r="F925" s="5"/>
      <c r="G925" s="5"/>
    </row>
    <row r="926" spans="1:7" ht="99" thickBot="1">
      <c r="A926" s="3">
        <v>924</v>
      </c>
      <c r="B926" s="3" t="s">
        <v>1666</v>
      </c>
      <c r="C926" s="6" t="s">
        <v>2714</v>
      </c>
      <c r="D926" s="6" t="s">
        <v>2021</v>
      </c>
      <c r="E926" s="7" t="s">
        <v>2715</v>
      </c>
      <c r="F926" s="5"/>
      <c r="G926" s="5"/>
    </row>
    <row r="927" spans="1:7" ht="99" thickBot="1">
      <c r="A927" s="3">
        <v>925</v>
      </c>
      <c r="B927" s="3" t="s">
        <v>1666</v>
      </c>
      <c r="C927" s="6" t="s">
        <v>2716</v>
      </c>
      <c r="D927" s="6" t="s">
        <v>2717</v>
      </c>
      <c r="E927" s="7" t="s">
        <v>2718</v>
      </c>
      <c r="F927" s="5"/>
      <c r="G927" s="5"/>
    </row>
    <row r="928" spans="1:7" ht="99" thickBot="1">
      <c r="A928" s="3">
        <v>926</v>
      </c>
      <c r="B928" s="3" t="s">
        <v>1666</v>
      </c>
      <c r="C928" s="6" t="s">
        <v>2719</v>
      </c>
      <c r="D928" s="6" t="s">
        <v>2720</v>
      </c>
      <c r="E928" s="7" t="s">
        <v>2721</v>
      </c>
      <c r="F928" s="5"/>
      <c r="G928" s="5"/>
    </row>
    <row r="929" spans="1:7" ht="112.8" thickBot="1">
      <c r="A929" s="3">
        <v>927</v>
      </c>
      <c r="B929" s="3" t="s">
        <v>1666</v>
      </c>
      <c r="C929" s="6" t="s">
        <v>2722</v>
      </c>
      <c r="D929" s="6" t="s">
        <v>2723</v>
      </c>
      <c r="E929" s="7" t="s">
        <v>2724</v>
      </c>
      <c r="F929" s="5"/>
      <c r="G929" s="5"/>
    </row>
    <row r="930" spans="1:7" ht="112.8" thickBot="1">
      <c r="A930" s="3">
        <v>928</v>
      </c>
      <c r="B930" s="3" t="s">
        <v>1666</v>
      </c>
      <c r="C930" s="6" t="s">
        <v>2725</v>
      </c>
      <c r="D930" s="6" t="s">
        <v>2726</v>
      </c>
      <c r="E930" s="7" t="s">
        <v>2727</v>
      </c>
      <c r="F930" s="5"/>
      <c r="G930" s="5"/>
    </row>
    <row r="931" spans="1:7" ht="99" thickBot="1">
      <c r="A931" s="3">
        <v>929</v>
      </c>
      <c r="B931" s="3" t="s">
        <v>1666</v>
      </c>
      <c r="C931" s="6" t="s">
        <v>2728</v>
      </c>
      <c r="D931" s="6" t="s">
        <v>2729</v>
      </c>
      <c r="E931" s="7" t="s">
        <v>2730</v>
      </c>
      <c r="F931" s="5"/>
      <c r="G931" s="5"/>
    </row>
    <row r="932" spans="1:7" ht="99" thickBot="1">
      <c r="A932" s="3">
        <v>930</v>
      </c>
      <c r="B932" s="3" t="s">
        <v>1666</v>
      </c>
      <c r="C932" s="6" t="s">
        <v>2731</v>
      </c>
      <c r="D932" s="6" t="s">
        <v>2732</v>
      </c>
      <c r="E932" s="7" t="s">
        <v>2733</v>
      </c>
      <c r="F932" s="5"/>
      <c r="G932" s="5"/>
    </row>
    <row r="933" spans="1:7" ht="99" thickBot="1">
      <c r="A933" s="3">
        <v>931</v>
      </c>
      <c r="B933" s="3" t="s">
        <v>1666</v>
      </c>
      <c r="C933" s="6" t="s">
        <v>2734</v>
      </c>
      <c r="D933" s="6" t="s">
        <v>2735</v>
      </c>
      <c r="E933" s="7" t="s">
        <v>2736</v>
      </c>
      <c r="F933" s="5"/>
      <c r="G933" s="5"/>
    </row>
    <row r="934" spans="1:7" ht="112.8" thickBot="1">
      <c r="A934" s="3">
        <v>932</v>
      </c>
      <c r="B934" s="3" t="s">
        <v>1666</v>
      </c>
      <c r="C934" s="6" t="s">
        <v>2737</v>
      </c>
      <c r="D934" s="6" t="s">
        <v>2738</v>
      </c>
      <c r="E934" s="7" t="s">
        <v>2739</v>
      </c>
      <c r="F934" s="5"/>
      <c r="G934" s="5"/>
    </row>
    <row r="935" spans="1:7" ht="99" thickBot="1">
      <c r="A935" s="3">
        <v>933</v>
      </c>
      <c r="B935" s="3" t="s">
        <v>1666</v>
      </c>
      <c r="C935" s="6" t="s">
        <v>2740</v>
      </c>
      <c r="D935" s="6" t="s">
        <v>2741</v>
      </c>
      <c r="E935" s="7" t="s">
        <v>2742</v>
      </c>
      <c r="F935" s="5"/>
      <c r="G935" s="5"/>
    </row>
    <row r="936" spans="1:7" ht="99" thickBot="1">
      <c r="A936" s="3">
        <v>934</v>
      </c>
      <c r="B936" s="3" t="s">
        <v>1666</v>
      </c>
      <c r="C936" s="6" t="s">
        <v>2743</v>
      </c>
      <c r="D936" s="6" t="s">
        <v>2744</v>
      </c>
      <c r="E936" s="7" t="s">
        <v>2745</v>
      </c>
      <c r="F936" s="5"/>
      <c r="G936" s="5"/>
    </row>
    <row r="937" spans="1:7" ht="99" thickBot="1">
      <c r="A937" s="3">
        <v>935</v>
      </c>
      <c r="B937" s="3" t="s">
        <v>1666</v>
      </c>
      <c r="C937" s="6" t="s">
        <v>2746</v>
      </c>
      <c r="D937" s="6" t="s">
        <v>2747</v>
      </c>
      <c r="E937" s="7" t="s">
        <v>2748</v>
      </c>
      <c r="F937" s="5"/>
      <c r="G937" s="5"/>
    </row>
    <row r="938" spans="1:7" ht="99" thickBot="1">
      <c r="A938" s="3">
        <v>936</v>
      </c>
      <c r="B938" s="3" t="s">
        <v>1666</v>
      </c>
      <c r="C938" s="6" t="s">
        <v>2749</v>
      </c>
      <c r="D938" s="6" t="s">
        <v>2261</v>
      </c>
      <c r="E938" s="7" t="s">
        <v>2750</v>
      </c>
      <c r="F938" s="5"/>
      <c r="G938" s="5"/>
    </row>
    <row r="939" spans="1:7" ht="99" thickBot="1">
      <c r="A939" s="3">
        <v>937</v>
      </c>
      <c r="B939" s="3" t="s">
        <v>1666</v>
      </c>
      <c r="C939" s="6" t="s">
        <v>2751</v>
      </c>
      <c r="D939" s="6" t="s">
        <v>2752</v>
      </c>
      <c r="E939" s="7" t="s">
        <v>2753</v>
      </c>
      <c r="F939" s="5"/>
      <c r="G939" s="5"/>
    </row>
    <row r="940" spans="1:7" ht="99" thickBot="1">
      <c r="A940" s="3">
        <v>938</v>
      </c>
      <c r="B940" s="3" t="s">
        <v>1666</v>
      </c>
      <c r="C940" s="6" t="s">
        <v>2754</v>
      </c>
      <c r="D940" s="6" t="s">
        <v>1802</v>
      </c>
      <c r="E940" s="7" t="s">
        <v>2755</v>
      </c>
      <c r="F940" s="5"/>
      <c r="G940" s="5"/>
    </row>
    <row r="941" spans="1:7" ht="99" thickBot="1">
      <c r="A941" s="3">
        <v>939</v>
      </c>
      <c r="B941" s="3" t="s">
        <v>1666</v>
      </c>
      <c r="C941" s="6" t="s">
        <v>2756</v>
      </c>
      <c r="D941" s="6" t="s">
        <v>2757</v>
      </c>
      <c r="E941" s="7" t="s">
        <v>2758</v>
      </c>
      <c r="F941" s="5"/>
      <c r="G941" s="5"/>
    </row>
    <row r="942" spans="1:7" ht="99" thickBot="1">
      <c r="A942" s="3">
        <v>940</v>
      </c>
      <c r="B942" s="3" t="s">
        <v>1666</v>
      </c>
      <c r="C942" s="6" t="s">
        <v>2759</v>
      </c>
      <c r="D942" s="6" t="s">
        <v>2760</v>
      </c>
      <c r="E942" s="7" t="s">
        <v>2761</v>
      </c>
      <c r="F942" s="5"/>
      <c r="G942" s="5"/>
    </row>
    <row r="943" spans="1:7" ht="99" thickBot="1">
      <c r="A943" s="3">
        <v>941</v>
      </c>
      <c r="B943" s="3" t="s">
        <v>1666</v>
      </c>
      <c r="C943" s="6" t="s">
        <v>2762</v>
      </c>
      <c r="D943" s="6" t="s">
        <v>2763</v>
      </c>
      <c r="E943" s="7" t="s">
        <v>2764</v>
      </c>
      <c r="F943" s="5"/>
      <c r="G943" s="5"/>
    </row>
    <row r="944" spans="1:7" ht="112.8" thickBot="1">
      <c r="A944" s="3">
        <v>942</v>
      </c>
      <c r="B944" s="3" t="s">
        <v>1666</v>
      </c>
      <c r="C944" s="6" t="s">
        <v>2765</v>
      </c>
      <c r="D944" s="6" t="s">
        <v>2766</v>
      </c>
      <c r="E944" s="7" t="s">
        <v>2767</v>
      </c>
      <c r="F944" s="5"/>
      <c r="G944" s="5"/>
    </row>
    <row r="945" spans="1:7" ht="99" thickBot="1">
      <c r="A945" s="3">
        <v>943</v>
      </c>
      <c r="B945" s="3" t="s">
        <v>1666</v>
      </c>
      <c r="C945" s="6" t="s">
        <v>2768</v>
      </c>
      <c r="D945" s="6" t="s">
        <v>2769</v>
      </c>
      <c r="E945" s="7" t="s">
        <v>2770</v>
      </c>
      <c r="F945" s="5"/>
      <c r="G945" s="5"/>
    </row>
    <row r="946" spans="1:7" ht="99" thickBot="1">
      <c r="A946" s="3">
        <v>944</v>
      </c>
      <c r="B946" s="3" t="s">
        <v>1666</v>
      </c>
      <c r="C946" s="6" t="s">
        <v>2771</v>
      </c>
      <c r="D946" s="6" t="s">
        <v>2772</v>
      </c>
      <c r="E946" s="7" t="s">
        <v>2773</v>
      </c>
      <c r="F946" s="5"/>
      <c r="G946" s="5"/>
    </row>
    <row r="947" spans="1:7" ht="126.6" thickBot="1">
      <c r="A947" s="3">
        <v>945</v>
      </c>
      <c r="B947" s="3" t="s">
        <v>1666</v>
      </c>
      <c r="C947" s="6" t="s">
        <v>2774</v>
      </c>
      <c r="D947" s="6" t="s">
        <v>2775</v>
      </c>
      <c r="E947" s="7" t="s">
        <v>2776</v>
      </c>
      <c r="F947" s="5"/>
      <c r="G947" s="5"/>
    </row>
    <row r="948" spans="1:7" ht="99" thickBot="1">
      <c r="A948" s="3">
        <v>946</v>
      </c>
      <c r="B948" s="3" t="s">
        <v>1666</v>
      </c>
      <c r="C948" s="6" t="s">
        <v>2777</v>
      </c>
      <c r="D948" s="6" t="s">
        <v>2778</v>
      </c>
      <c r="E948" s="7" t="s">
        <v>2779</v>
      </c>
      <c r="F948" s="5"/>
      <c r="G948" s="5"/>
    </row>
    <row r="949" spans="1:7" ht="112.8" thickBot="1">
      <c r="A949" s="3">
        <v>947</v>
      </c>
      <c r="B949" s="3" t="s">
        <v>1666</v>
      </c>
      <c r="C949" s="6" t="s">
        <v>2780</v>
      </c>
      <c r="D949" s="6" t="s">
        <v>2781</v>
      </c>
      <c r="E949" s="7" t="s">
        <v>2782</v>
      </c>
      <c r="F949" s="5"/>
      <c r="G949" s="5"/>
    </row>
    <row r="950" spans="1:7" ht="112.8" thickBot="1">
      <c r="A950" s="3">
        <v>948</v>
      </c>
      <c r="B950" s="3" t="s">
        <v>1666</v>
      </c>
      <c r="C950" s="6" t="s">
        <v>2783</v>
      </c>
      <c r="D950" s="6" t="s">
        <v>2784</v>
      </c>
      <c r="E950" s="7" t="s">
        <v>2785</v>
      </c>
      <c r="F950" s="5"/>
      <c r="G950" s="5"/>
    </row>
    <row r="951" spans="1:7" ht="99" thickBot="1">
      <c r="A951" s="3">
        <v>949</v>
      </c>
      <c r="B951" s="3" t="s">
        <v>1666</v>
      </c>
      <c r="C951" s="6" t="s">
        <v>2786</v>
      </c>
      <c r="D951" s="6" t="s">
        <v>2787</v>
      </c>
      <c r="E951" s="7" t="s">
        <v>2370</v>
      </c>
      <c r="F951" s="5"/>
      <c r="G951" s="5"/>
    </row>
    <row r="952" spans="1:7" ht="99" thickBot="1">
      <c r="A952" s="3">
        <v>950</v>
      </c>
      <c r="B952" s="3" t="s">
        <v>1666</v>
      </c>
      <c r="C952" s="6" t="s">
        <v>2788</v>
      </c>
      <c r="D952" s="6" t="s">
        <v>2789</v>
      </c>
      <c r="E952" s="7" t="s">
        <v>2790</v>
      </c>
      <c r="F952" s="5"/>
      <c r="G952" s="5"/>
    </row>
    <row r="953" spans="1:7" ht="99" thickBot="1">
      <c r="A953" s="3">
        <v>951</v>
      </c>
      <c r="B953" s="3" t="s">
        <v>1666</v>
      </c>
      <c r="C953" s="6" t="s">
        <v>2791</v>
      </c>
      <c r="D953" s="6" t="s">
        <v>2792</v>
      </c>
      <c r="E953" s="7" t="s">
        <v>2793</v>
      </c>
      <c r="F953" s="5"/>
      <c r="G953" s="5"/>
    </row>
    <row r="954" spans="1:7" ht="99" thickBot="1">
      <c r="A954" s="3">
        <v>952</v>
      </c>
      <c r="B954" s="3" t="s">
        <v>1666</v>
      </c>
      <c r="C954" s="6" t="s">
        <v>2794</v>
      </c>
      <c r="D954" s="6" t="s">
        <v>2795</v>
      </c>
      <c r="E954" s="7" t="s">
        <v>2796</v>
      </c>
      <c r="F954" s="5"/>
      <c r="G954" s="5"/>
    </row>
    <row r="955" spans="1:7" ht="99" thickBot="1">
      <c r="A955" s="3">
        <v>953</v>
      </c>
      <c r="B955" s="3" t="s">
        <v>1666</v>
      </c>
      <c r="C955" s="6" t="s">
        <v>2797</v>
      </c>
      <c r="D955" s="6" t="s">
        <v>2798</v>
      </c>
      <c r="E955" s="7" t="s">
        <v>2799</v>
      </c>
      <c r="F955" s="5"/>
      <c r="G955" s="5"/>
    </row>
    <row r="956" spans="1:7" ht="112.8" thickBot="1">
      <c r="A956" s="3">
        <v>954</v>
      </c>
      <c r="B956" s="3" t="s">
        <v>1666</v>
      </c>
      <c r="C956" s="6" t="s">
        <v>2800</v>
      </c>
      <c r="D956" s="6" t="s">
        <v>2801</v>
      </c>
      <c r="E956" s="7" t="s">
        <v>2802</v>
      </c>
      <c r="F956" s="5"/>
      <c r="G956" s="5"/>
    </row>
    <row r="957" spans="1:7" ht="99" thickBot="1">
      <c r="A957" s="3">
        <v>955</v>
      </c>
      <c r="B957" s="3" t="s">
        <v>1666</v>
      </c>
      <c r="C957" s="6" t="s">
        <v>2803</v>
      </c>
      <c r="D957" s="6" t="s">
        <v>2804</v>
      </c>
      <c r="E957" s="7" t="s">
        <v>2805</v>
      </c>
      <c r="F957" s="5"/>
      <c r="G957" s="5"/>
    </row>
    <row r="958" spans="1:7" ht="99" thickBot="1">
      <c r="A958" s="3">
        <v>956</v>
      </c>
      <c r="B958" s="3" t="s">
        <v>1666</v>
      </c>
      <c r="C958" s="6" t="s">
        <v>2806</v>
      </c>
      <c r="D958" s="6" t="s">
        <v>2807</v>
      </c>
      <c r="E958" s="7" t="s">
        <v>2808</v>
      </c>
      <c r="F958" s="5"/>
      <c r="G958" s="5"/>
    </row>
    <row r="959" spans="1:7" ht="112.8" thickBot="1">
      <c r="A959" s="3">
        <v>957</v>
      </c>
      <c r="B959" s="3" t="s">
        <v>1666</v>
      </c>
      <c r="C959" s="6" t="s">
        <v>2809</v>
      </c>
      <c r="D959" s="6" t="s">
        <v>2810</v>
      </c>
      <c r="E959" s="7" t="s">
        <v>2811</v>
      </c>
      <c r="F959" s="5"/>
      <c r="G959" s="5"/>
    </row>
    <row r="960" spans="1:7" ht="112.8" thickBot="1">
      <c r="A960" s="3">
        <v>958</v>
      </c>
      <c r="B960" s="3" t="s">
        <v>1666</v>
      </c>
      <c r="C960" s="6" t="s">
        <v>2812</v>
      </c>
      <c r="D960" s="6" t="s">
        <v>2813</v>
      </c>
      <c r="E960" s="7" t="s">
        <v>2814</v>
      </c>
      <c r="F960" s="5"/>
      <c r="G960" s="5"/>
    </row>
    <row r="961" spans="1:7" ht="126.6" thickBot="1">
      <c r="A961" s="3">
        <v>959</v>
      </c>
      <c r="B961" s="3" t="s">
        <v>1666</v>
      </c>
      <c r="C961" s="6" t="s">
        <v>2815</v>
      </c>
      <c r="D961" s="6" t="s">
        <v>2816</v>
      </c>
      <c r="E961" s="7" t="s">
        <v>2817</v>
      </c>
      <c r="F961" s="5"/>
      <c r="G961" s="5"/>
    </row>
    <row r="962" spans="1:7" ht="99" thickBot="1">
      <c r="A962" s="3">
        <v>960</v>
      </c>
      <c r="B962" s="3" t="s">
        <v>1666</v>
      </c>
      <c r="C962" s="6" t="s">
        <v>2818</v>
      </c>
      <c r="D962" s="6" t="s">
        <v>2819</v>
      </c>
      <c r="E962" s="7" t="s">
        <v>2820</v>
      </c>
      <c r="F962" s="5"/>
      <c r="G962" s="5"/>
    </row>
    <row r="963" spans="1:7" ht="99" thickBot="1">
      <c r="A963" s="3">
        <v>961</v>
      </c>
      <c r="B963" s="3" t="s">
        <v>1666</v>
      </c>
      <c r="C963" s="6" t="s">
        <v>2821</v>
      </c>
      <c r="D963" s="6" t="s">
        <v>2822</v>
      </c>
      <c r="E963" s="7" t="s">
        <v>2823</v>
      </c>
      <c r="F963" s="5"/>
      <c r="G963" s="5"/>
    </row>
    <row r="964" spans="1:7" ht="99" thickBot="1">
      <c r="A964" s="3">
        <v>962</v>
      </c>
      <c r="B964" s="3" t="s">
        <v>1666</v>
      </c>
      <c r="C964" s="6" t="s">
        <v>2824</v>
      </c>
      <c r="D964" s="6" t="s">
        <v>2825</v>
      </c>
      <c r="E964" s="7" t="s">
        <v>2826</v>
      </c>
      <c r="F964" s="5"/>
      <c r="G964" s="5"/>
    </row>
    <row r="965" spans="1:7" ht="112.8" thickBot="1">
      <c r="A965" s="3">
        <v>963</v>
      </c>
      <c r="B965" s="3" t="s">
        <v>1666</v>
      </c>
      <c r="C965" s="6" t="s">
        <v>2827</v>
      </c>
      <c r="D965" s="6" t="s">
        <v>2828</v>
      </c>
      <c r="E965" s="7" t="s">
        <v>2829</v>
      </c>
      <c r="F965" s="5"/>
      <c r="G965" s="5"/>
    </row>
    <row r="966" spans="1:7" ht="99" thickBot="1">
      <c r="A966" s="3">
        <v>964</v>
      </c>
      <c r="B966" s="3" t="s">
        <v>1666</v>
      </c>
      <c r="C966" s="6" t="s">
        <v>2830</v>
      </c>
      <c r="D966" s="6" t="s">
        <v>2831</v>
      </c>
      <c r="E966" s="7" t="s">
        <v>2832</v>
      </c>
      <c r="F966" s="5"/>
      <c r="G966" s="5"/>
    </row>
    <row r="967" spans="1:7" ht="112.8" thickBot="1">
      <c r="A967" s="3">
        <v>965</v>
      </c>
      <c r="B967" s="3" t="s">
        <v>1666</v>
      </c>
      <c r="C967" s="6" t="s">
        <v>2833</v>
      </c>
      <c r="D967" s="6" t="s">
        <v>2834</v>
      </c>
      <c r="E967" s="7" t="s">
        <v>2835</v>
      </c>
      <c r="F967" s="5"/>
      <c r="G967" s="5"/>
    </row>
    <row r="968" spans="1:7" ht="99" thickBot="1">
      <c r="A968" s="3">
        <v>966</v>
      </c>
      <c r="B968" s="3" t="s">
        <v>1666</v>
      </c>
      <c r="C968" s="6" t="s">
        <v>2836</v>
      </c>
      <c r="D968" s="6" t="s">
        <v>2178</v>
      </c>
      <c r="E968" s="7" t="s">
        <v>2837</v>
      </c>
      <c r="F968" s="5"/>
      <c r="G968" s="5"/>
    </row>
    <row r="969" spans="1:7" ht="99" thickBot="1">
      <c r="A969" s="3">
        <v>967</v>
      </c>
      <c r="B969" s="3" t="s">
        <v>1666</v>
      </c>
      <c r="C969" s="6" t="s">
        <v>2838</v>
      </c>
      <c r="D969" s="6" t="s">
        <v>2839</v>
      </c>
      <c r="E969" s="7" t="s">
        <v>2840</v>
      </c>
      <c r="F969" s="5"/>
      <c r="G969" s="5"/>
    </row>
    <row r="970" spans="1:7" ht="112.8" thickBot="1">
      <c r="A970" s="3">
        <v>968</v>
      </c>
      <c r="B970" s="3" t="s">
        <v>1666</v>
      </c>
      <c r="C970" s="6" t="s">
        <v>2841</v>
      </c>
      <c r="D970" s="6" t="s">
        <v>2842</v>
      </c>
      <c r="E970" s="7" t="s">
        <v>2843</v>
      </c>
      <c r="F970" s="5"/>
      <c r="G970" s="5"/>
    </row>
    <row r="971" spans="1:7" ht="112.8" thickBot="1">
      <c r="A971" s="3">
        <v>969</v>
      </c>
      <c r="B971" s="3" t="s">
        <v>1666</v>
      </c>
      <c r="C971" s="6" t="s">
        <v>2844</v>
      </c>
      <c r="D971" s="6" t="s">
        <v>2845</v>
      </c>
      <c r="E971" s="7" t="s">
        <v>2846</v>
      </c>
      <c r="F971" s="5"/>
      <c r="G971" s="5"/>
    </row>
    <row r="972" spans="1:7" ht="99" thickBot="1">
      <c r="A972" s="3">
        <v>970</v>
      </c>
      <c r="B972" s="3" t="s">
        <v>1666</v>
      </c>
      <c r="C972" s="6" t="s">
        <v>2847</v>
      </c>
      <c r="D972" s="6" t="s">
        <v>1675</v>
      </c>
      <c r="E972" s="7" t="s">
        <v>2848</v>
      </c>
      <c r="F972" s="5"/>
      <c r="G972" s="5"/>
    </row>
    <row r="973" spans="1:7" ht="99" thickBot="1">
      <c r="A973" s="3">
        <v>971</v>
      </c>
      <c r="B973" s="3" t="s">
        <v>1666</v>
      </c>
      <c r="C973" s="6" t="s">
        <v>2849</v>
      </c>
      <c r="D973" s="6" t="s">
        <v>2370</v>
      </c>
      <c r="E973" s="7" t="s">
        <v>2850</v>
      </c>
      <c r="F973" s="5"/>
      <c r="G973" s="5"/>
    </row>
    <row r="974" spans="1:7" ht="112.8" thickBot="1">
      <c r="A974" s="3">
        <v>972</v>
      </c>
      <c r="B974" s="3" t="s">
        <v>1666</v>
      </c>
      <c r="C974" s="6" t="s">
        <v>2851</v>
      </c>
      <c r="D974" s="6" t="s">
        <v>2852</v>
      </c>
      <c r="E974" s="7" t="s">
        <v>2853</v>
      </c>
      <c r="F974" s="5"/>
      <c r="G974" s="5"/>
    </row>
    <row r="975" spans="1:7" ht="112.8" thickBot="1">
      <c r="A975" s="3">
        <v>973</v>
      </c>
      <c r="B975" s="3" t="s">
        <v>1666</v>
      </c>
      <c r="C975" s="6" t="s">
        <v>2854</v>
      </c>
      <c r="D975" s="6" t="s">
        <v>2855</v>
      </c>
      <c r="E975" s="7" t="s">
        <v>2856</v>
      </c>
      <c r="F975" s="5"/>
      <c r="G975" s="5"/>
    </row>
    <row r="976" spans="1:7" ht="99" thickBot="1">
      <c r="A976" s="3">
        <v>974</v>
      </c>
      <c r="B976" s="3" t="s">
        <v>1666</v>
      </c>
      <c r="C976" s="6" t="s">
        <v>2857</v>
      </c>
      <c r="D976" s="6" t="s">
        <v>2858</v>
      </c>
      <c r="E976" s="7" t="s">
        <v>2859</v>
      </c>
      <c r="F976" s="5"/>
      <c r="G976" s="5"/>
    </row>
    <row r="977" spans="1:7" ht="99" thickBot="1">
      <c r="A977" s="3">
        <v>975</v>
      </c>
      <c r="B977" s="3" t="s">
        <v>1666</v>
      </c>
      <c r="C977" s="6" t="s">
        <v>2860</v>
      </c>
      <c r="D977" s="6" t="s">
        <v>2861</v>
      </c>
      <c r="E977" s="7" t="s">
        <v>2862</v>
      </c>
      <c r="F977" s="5"/>
      <c r="G977" s="5"/>
    </row>
    <row r="978" spans="1:7" ht="99" thickBot="1">
      <c r="A978" s="3">
        <v>976</v>
      </c>
      <c r="B978" s="3" t="s">
        <v>1666</v>
      </c>
      <c r="C978" s="6" t="s">
        <v>2863</v>
      </c>
      <c r="D978" s="6" t="s">
        <v>2864</v>
      </c>
      <c r="E978" s="7" t="s">
        <v>2865</v>
      </c>
      <c r="F978" s="5"/>
      <c r="G978" s="5"/>
    </row>
    <row r="979" spans="1:7" ht="99" thickBot="1">
      <c r="A979" s="3">
        <v>977</v>
      </c>
      <c r="B979" s="3" t="s">
        <v>1666</v>
      </c>
      <c r="C979" s="6" t="s">
        <v>2866</v>
      </c>
      <c r="D979" s="6" t="s">
        <v>2867</v>
      </c>
      <c r="E979" s="7" t="s">
        <v>2868</v>
      </c>
      <c r="F979" s="5"/>
      <c r="G979" s="5"/>
    </row>
    <row r="980" spans="1:7" ht="112.8" thickBot="1">
      <c r="A980" s="3">
        <v>978</v>
      </c>
      <c r="B980" s="3" t="s">
        <v>1666</v>
      </c>
      <c r="C980" s="6" t="s">
        <v>2869</v>
      </c>
      <c r="D980" s="6" t="s">
        <v>2870</v>
      </c>
      <c r="E980" s="7" t="s">
        <v>2871</v>
      </c>
      <c r="F980" s="5"/>
      <c r="G980" s="5"/>
    </row>
    <row r="981" spans="1:7" ht="99" thickBot="1">
      <c r="A981" s="3">
        <v>979</v>
      </c>
      <c r="B981" s="3" t="s">
        <v>1666</v>
      </c>
      <c r="C981" s="6" t="s">
        <v>2872</v>
      </c>
      <c r="D981" s="6" t="s">
        <v>2873</v>
      </c>
      <c r="E981" s="7" t="s">
        <v>2874</v>
      </c>
      <c r="F981" s="5"/>
      <c r="G981" s="5"/>
    </row>
    <row r="982" spans="1:7" ht="99" thickBot="1">
      <c r="A982" s="3">
        <v>980</v>
      </c>
      <c r="B982" s="3" t="s">
        <v>1666</v>
      </c>
      <c r="C982" s="6" t="s">
        <v>2875</v>
      </c>
      <c r="D982" s="6" t="s">
        <v>2876</v>
      </c>
      <c r="E982" s="7" t="s">
        <v>2877</v>
      </c>
      <c r="F982" s="5"/>
      <c r="G982" s="5"/>
    </row>
    <row r="983" spans="1:7" ht="99" thickBot="1">
      <c r="A983" s="3">
        <v>981</v>
      </c>
      <c r="B983" s="3" t="s">
        <v>1666</v>
      </c>
      <c r="C983" s="6" t="s">
        <v>2878</v>
      </c>
      <c r="D983" s="6" t="s">
        <v>2879</v>
      </c>
      <c r="E983" s="7" t="s">
        <v>2880</v>
      </c>
      <c r="F983" s="5"/>
      <c r="G983" s="5"/>
    </row>
    <row r="984" spans="1:7" ht="112.8" thickBot="1">
      <c r="A984" s="3">
        <v>982</v>
      </c>
      <c r="B984" s="3" t="s">
        <v>1666</v>
      </c>
      <c r="C984" s="6" t="s">
        <v>2881</v>
      </c>
      <c r="D984" s="6" t="s">
        <v>2882</v>
      </c>
      <c r="E984" s="7" t="s">
        <v>2883</v>
      </c>
      <c r="F984" s="5"/>
      <c r="G984" s="5"/>
    </row>
    <row r="985" spans="1:7" ht="112.8" thickBot="1">
      <c r="A985" s="3">
        <v>983</v>
      </c>
      <c r="B985" s="3" t="s">
        <v>1666</v>
      </c>
      <c r="C985" s="6" t="s">
        <v>2884</v>
      </c>
      <c r="D985" s="6" t="s">
        <v>1853</v>
      </c>
      <c r="E985" s="7" t="s">
        <v>2885</v>
      </c>
      <c r="F985" s="5"/>
      <c r="G985" s="5"/>
    </row>
    <row r="986" spans="1:7" ht="99" thickBot="1">
      <c r="A986" s="3">
        <v>984</v>
      </c>
      <c r="B986" s="3" t="s">
        <v>1666</v>
      </c>
      <c r="C986" s="6" t="s">
        <v>2886</v>
      </c>
      <c r="D986" s="6" t="s">
        <v>2887</v>
      </c>
      <c r="E986" s="7" t="s">
        <v>2888</v>
      </c>
      <c r="F986" s="5"/>
      <c r="G986" s="5"/>
    </row>
    <row r="987" spans="1:7" ht="112.8" thickBot="1">
      <c r="A987" s="3">
        <v>985</v>
      </c>
      <c r="B987" s="3" t="s">
        <v>1666</v>
      </c>
      <c r="C987" s="6" t="s">
        <v>2889</v>
      </c>
      <c r="D987" s="6" t="s">
        <v>2890</v>
      </c>
      <c r="E987" s="7" t="s">
        <v>2891</v>
      </c>
      <c r="F987" s="5"/>
      <c r="G987" s="5"/>
    </row>
    <row r="988" spans="1:7" ht="99" thickBot="1">
      <c r="A988" s="3">
        <v>986</v>
      </c>
      <c r="B988" s="3" t="s">
        <v>1666</v>
      </c>
      <c r="C988" s="6" t="s">
        <v>2892</v>
      </c>
      <c r="D988" s="6" t="s">
        <v>2893</v>
      </c>
      <c r="E988" s="7" t="s">
        <v>2894</v>
      </c>
      <c r="F988" s="5"/>
      <c r="G988" s="5"/>
    </row>
    <row r="989" spans="1:7" ht="112.8" thickBot="1">
      <c r="A989" s="3">
        <v>987</v>
      </c>
      <c r="B989" s="3" t="s">
        <v>1666</v>
      </c>
      <c r="C989" s="6" t="s">
        <v>2895</v>
      </c>
      <c r="D989" s="6" t="s">
        <v>2896</v>
      </c>
      <c r="E989" s="7" t="s">
        <v>2897</v>
      </c>
      <c r="F989" s="5"/>
      <c r="G989" s="5"/>
    </row>
    <row r="990" spans="1:7" ht="99" thickBot="1">
      <c r="A990" s="3">
        <v>988</v>
      </c>
      <c r="B990" s="3" t="s">
        <v>1666</v>
      </c>
      <c r="C990" s="6" t="s">
        <v>2898</v>
      </c>
      <c r="D990" s="6" t="s">
        <v>2899</v>
      </c>
      <c r="E990" s="7" t="s">
        <v>2900</v>
      </c>
      <c r="F990" s="5"/>
      <c r="G990" s="5"/>
    </row>
    <row r="991" spans="1:7" ht="99" thickBot="1">
      <c r="A991" s="3">
        <v>989</v>
      </c>
      <c r="B991" s="3" t="s">
        <v>1666</v>
      </c>
      <c r="C991" s="6" t="s">
        <v>2901</v>
      </c>
      <c r="D991" s="6" t="s">
        <v>2902</v>
      </c>
      <c r="E991" s="7" t="s">
        <v>2903</v>
      </c>
      <c r="F991" s="5"/>
      <c r="G991" s="5"/>
    </row>
    <row r="992" spans="1:7" ht="99" thickBot="1">
      <c r="A992" s="3">
        <v>990</v>
      </c>
      <c r="B992" s="3" t="s">
        <v>1666</v>
      </c>
      <c r="C992" s="6" t="s">
        <v>2904</v>
      </c>
      <c r="D992" s="6" t="s">
        <v>2905</v>
      </c>
      <c r="E992" s="7" t="s">
        <v>2906</v>
      </c>
      <c r="F992" s="5"/>
      <c r="G992" s="5"/>
    </row>
    <row r="993" spans="1:7" ht="99" thickBot="1">
      <c r="A993" s="3">
        <v>991</v>
      </c>
      <c r="B993" s="3" t="s">
        <v>1666</v>
      </c>
      <c r="C993" s="6" t="s">
        <v>2907</v>
      </c>
      <c r="D993" s="6" t="s">
        <v>2908</v>
      </c>
      <c r="E993" s="7" t="s">
        <v>2909</v>
      </c>
      <c r="F993" s="5"/>
      <c r="G993" s="5"/>
    </row>
    <row r="994" spans="1:7" ht="99" thickBot="1">
      <c r="A994" s="3">
        <v>992</v>
      </c>
      <c r="B994" s="3" t="s">
        <v>1666</v>
      </c>
      <c r="C994" s="6" t="s">
        <v>2910</v>
      </c>
      <c r="D994" s="6" t="s">
        <v>2911</v>
      </c>
      <c r="E994" s="7" t="s">
        <v>2912</v>
      </c>
      <c r="F994" s="5"/>
      <c r="G994" s="5"/>
    </row>
    <row r="995" spans="1:7" ht="99" thickBot="1">
      <c r="A995" s="3">
        <v>993</v>
      </c>
      <c r="B995" s="3" t="s">
        <v>1666</v>
      </c>
      <c r="C995" s="6" t="s">
        <v>2913</v>
      </c>
      <c r="D995" s="6" t="s">
        <v>2914</v>
      </c>
      <c r="E995" s="7" t="s">
        <v>2915</v>
      </c>
      <c r="F995" s="5"/>
      <c r="G995" s="5"/>
    </row>
    <row r="996" spans="1:7" ht="112.8" thickBot="1">
      <c r="A996" s="3">
        <v>994</v>
      </c>
      <c r="B996" s="3" t="s">
        <v>1666</v>
      </c>
      <c r="C996" s="6" t="s">
        <v>2916</v>
      </c>
      <c r="D996" s="6" t="s">
        <v>2917</v>
      </c>
      <c r="E996" s="7" t="s">
        <v>2918</v>
      </c>
      <c r="F996" s="5"/>
      <c r="G996" s="5"/>
    </row>
    <row r="997" spans="1:7" ht="99" thickBot="1">
      <c r="A997" s="3">
        <v>995</v>
      </c>
      <c r="B997" s="3" t="s">
        <v>1666</v>
      </c>
      <c r="C997" s="6" t="s">
        <v>2919</v>
      </c>
      <c r="D997" s="6" t="s">
        <v>2198</v>
      </c>
      <c r="E997" s="7" t="s">
        <v>2920</v>
      </c>
      <c r="F997" s="5"/>
      <c r="G997" s="5"/>
    </row>
    <row r="998" spans="1:7" ht="99" thickBot="1">
      <c r="A998" s="3">
        <v>996</v>
      </c>
      <c r="B998" s="3" t="s">
        <v>1666</v>
      </c>
      <c r="C998" s="6" t="s">
        <v>2921</v>
      </c>
      <c r="D998" s="6" t="s">
        <v>2922</v>
      </c>
      <c r="E998" s="7" t="s">
        <v>1918</v>
      </c>
      <c r="F998" s="5"/>
      <c r="G998" s="5"/>
    </row>
    <row r="999" spans="1:7" ht="99" thickBot="1">
      <c r="A999" s="3">
        <v>997</v>
      </c>
      <c r="B999" s="3" t="s">
        <v>1666</v>
      </c>
      <c r="C999" s="6" t="s">
        <v>2923</v>
      </c>
      <c r="D999" s="6" t="s">
        <v>2924</v>
      </c>
      <c r="E999" s="7" t="s">
        <v>2925</v>
      </c>
      <c r="F999" s="5"/>
      <c r="G999" s="5"/>
    </row>
    <row r="1000" spans="1:7" ht="99" thickBot="1">
      <c r="A1000" s="3">
        <v>998</v>
      </c>
      <c r="B1000" s="3" t="s">
        <v>1666</v>
      </c>
      <c r="C1000" s="6" t="s">
        <v>2926</v>
      </c>
      <c r="D1000" s="6" t="s">
        <v>2927</v>
      </c>
      <c r="E1000" s="7" t="s">
        <v>2928</v>
      </c>
      <c r="F1000" s="5"/>
      <c r="G1000" s="5"/>
    </row>
    <row r="1001" spans="1:7" ht="99" thickBot="1">
      <c r="A1001" s="3">
        <v>999</v>
      </c>
      <c r="B1001" s="3" t="s">
        <v>1666</v>
      </c>
      <c r="C1001" s="6" t="s">
        <v>2929</v>
      </c>
      <c r="D1001" s="6" t="s">
        <v>2930</v>
      </c>
      <c r="E1001" s="7" t="s">
        <v>2931</v>
      </c>
      <c r="F1001" s="5"/>
      <c r="G1001" s="5"/>
    </row>
    <row r="1002" spans="1:7" ht="126.6" thickBot="1">
      <c r="A1002" s="3">
        <v>1000</v>
      </c>
      <c r="B1002" s="3" t="s">
        <v>1666</v>
      </c>
      <c r="C1002" s="6" t="s">
        <v>2932</v>
      </c>
      <c r="D1002" s="6" t="s">
        <v>2933</v>
      </c>
      <c r="E1002" s="7" t="s">
        <v>2934</v>
      </c>
      <c r="F1002" s="5"/>
      <c r="G1002" s="5"/>
    </row>
    <row r="1003" spans="1:7" ht="99" thickBot="1">
      <c r="A1003" s="3">
        <v>1001</v>
      </c>
      <c r="B1003" s="3" t="s">
        <v>1666</v>
      </c>
      <c r="C1003" s="6" t="s">
        <v>2935</v>
      </c>
      <c r="D1003" s="6" t="s">
        <v>2936</v>
      </c>
      <c r="E1003" s="7" t="s">
        <v>2937</v>
      </c>
      <c r="F1003" s="5"/>
      <c r="G1003" s="5"/>
    </row>
    <row r="1004" spans="1:7" ht="99" thickBot="1">
      <c r="A1004" s="3">
        <v>1002</v>
      </c>
      <c r="B1004" s="3" t="s">
        <v>1666</v>
      </c>
      <c r="C1004" s="6" t="s">
        <v>2938</v>
      </c>
      <c r="D1004" s="6" t="s">
        <v>2939</v>
      </c>
      <c r="E1004" s="7" t="s">
        <v>2940</v>
      </c>
      <c r="F1004" s="5"/>
      <c r="G1004" s="5"/>
    </row>
    <row r="1005" spans="1:7" ht="99" thickBot="1">
      <c r="A1005" s="3">
        <v>1003</v>
      </c>
      <c r="B1005" s="3" t="s">
        <v>1666</v>
      </c>
      <c r="C1005" s="6" t="s">
        <v>2941</v>
      </c>
      <c r="D1005" s="6" t="s">
        <v>2942</v>
      </c>
      <c r="E1005" s="7" t="s">
        <v>2943</v>
      </c>
      <c r="F1005" s="5"/>
      <c r="G1005" s="5"/>
    </row>
    <row r="1006" spans="1:7" ht="99" thickBot="1">
      <c r="A1006" s="3">
        <v>1004</v>
      </c>
      <c r="B1006" s="3" t="s">
        <v>1666</v>
      </c>
      <c r="C1006" s="6" t="s">
        <v>2944</v>
      </c>
      <c r="D1006" s="6" t="s">
        <v>2945</v>
      </c>
      <c r="E1006" s="7" t="s">
        <v>2946</v>
      </c>
      <c r="F1006" s="5"/>
      <c r="G1006" s="5"/>
    </row>
    <row r="1007" spans="1:7" ht="99" thickBot="1">
      <c r="A1007" s="3">
        <v>1005</v>
      </c>
      <c r="B1007" s="3" t="s">
        <v>1666</v>
      </c>
      <c r="C1007" s="6" t="s">
        <v>2947</v>
      </c>
      <c r="D1007" s="6" t="s">
        <v>2948</v>
      </c>
      <c r="E1007" s="7" t="s">
        <v>2949</v>
      </c>
      <c r="F1007" s="5"/>
      <c r="G1007" s="5"/>
    </row>
    <row r="1008" spans="1:7" ht="112.8" thickBot="1">
      <c r="A1008" s="3">
        <v>1006</v>
      </c>
      <c r="B1008" s="3" t="s">
        <v>1666</v>
      </c>
      <c r="C1008" s="6" t="s">
        <v>2950</v>
      </c>
      <c r="D1008" s="6" t="s">
        <v>2951</v>
      </c>
      <c r="E1008" s="7" t="s">
        <v>2952</v>
      </c>
      <c r="F1008" s="5"/>
      <c r="G1008" s="5"/>
    </row>
    <row r="1009" spans="1:7" ht="112.8" thickBot="1">
      <c r="A1009" s="3">
        <v>1007</v>
      </c>
      <c r="B1009" s="3" t="s">
        <v>1666</v>
      </c>
      <c r="C1009" s="6" t="s">
        <v>2953</v>
      </c>
      <c r="D1009" s="6" t="s">
        <v>2598</v>
      </c>
      <c r="E1009" s="7" t="s">
        <v>2954</v>
      </c>
      <c r="F1009" s="5"/>
      <c r="G1009" s="5"/>
    </row>
    <row r="1010" spans="1:7" ht="99" thickBot="1">
      <c r="A1010" s="3">
        <v>1008</v>
      </c>
      <c r="B1010" s="3" t="s">
        <v>1666</v>
      </c>
      <c r="C1010" s="6" t="s">
        <v>2955</v>
      </c>
      <c r="D1010" s="6" t="s">
        <v>2956</v>
      </c>
      <c r="E1010" s="7" t="s">
        <v>2957</v>
      </c>
      <c r="F1010" s="5"/>
      <c r="G1010" s="5"/>
    </row>
    <row r="1011" spans="1:7" ht="99" thickBot="1">
      <c r="A1011" s="3">
        <v>1009</v>
      </c>
      <c r="B1011" s="3" t="s">
        <v>1666</v>
      </c>
      <c r="C1011" s="6" t="s">
        <v>2958</v>
      </c>
      <c r="D1011" s="6" t="s">
        <v>2959</v>
      </c>
      <c r="E1011" s="7" t="s">
        <v>2960</v>
      </c>
      <c r="F1011" s="5"/>
      <c r="G1011" s="5"/>
    </row>
    <row r="1012" spans="1:7" ht="99" thickBot="1">
      <c r="A1012" s="3">
        <v>1010</v>
      </c>
      <c r="B1012" s="3" t="s">
        <v>1666</v>
      </c>
      <c r="C1012" s="6" t="s">
        <v>2961</v>
      </c>
      <c r="D1012" s="6" t="s">
        <v>2962</v>
      </c>
      <c r="E1012" s="7" t="s">
        <v>2963</v>
      </c>
      <c r="F1012" s="5"/>
      <c r="G1012" s="5"/>
    </row>
    <row r="1013" spans="1:7" ht="112.8" thickBot="1">
      <c r="A1013" s="3">
        <v>1011</v>
      </c>
      <c r="B1013" s="3" t="s">
        <v>1666</v>
      </c>
      <c r="C1013" s="6" t="s">
        <v>2964</v>
      </c>
      <c r="D1013" s="6" t="s">
        <v>2965</v>
      </c>
      <c r="E1013" s="7" t="s">
        <v>2966</v>
      </c>
      <c r="F1013" s="5"/>
      <c r="G1013" s="5"/>
    </row>
    <row r="1014" spans="1:7" ht="99" thickBot="1">
      <c r="A1014" s="3">
        <v>1012</v>
      </c>
      <c r="B1014" s="3" t="s">
        <v>1666</v>
      </c>
      <c r="C1014" s="6" t="s">
        <v>2967</v>
      </c>
      <c r="D1014" s="6" t="s">
        <v>2968</v>
      </c>
      <c r="E1014" s="7" t="s">
        <v>2969</v>
      </c>
      <c r="F1014" s="5"/>
      <c r="G1014" s="5"/>
    </row>
    <row r="1015" spans="1:7" ht="99" thickBot="1">
      <c r="A1015" s="3">
        <v>1013</v>
      </c>
      <c r="B1015" s="3" t="s">
        <v>1666</v>
      </c>
      <c r="C1015" s="6" t="s">
        <v>2970</v>
      </c>
      <c r="D1015" s="6" t="s">
        <v>2971</v>
      </c>
      <c r="E1015" s="7" t="s">
        <v>2972</v>
      </c>
      <c r="F1015" s="5"/>
      <c r="G1015" s="5"/>
    </row>
    <row r="1016" spans="1:7" ht="99" thickBot="1">
      <c r="A1016" s="3">
        <v>1014</v>
      </c>
      <c r="B1016" s="3" t="s">
        <v>1666</v>
      </c>
      <c r="C1016" s="6" t="s">
        <v>2973</v>
      </c>
      <c r="D1016" s="6" t="s">
        <v>2974</v>
      </c>
      <c r="E1016" s="7" t="s">
        <v>2975</v>
      </c>
      <c r="F1016" s="5"/>
      <c r="G1016" s="5"/>
    </row>
    <row r="1017" spans="1:7" ht="112.8" thickBot="1">
      <c r="A1017" s="3">
        <v>1015</v>
      </c>
      <c r="B1017" s="3" t="s">
        <v>1666</v>
      </c>
      <c r="C1017" s="6" t="s">
        <v>2976</v>
      </c>
      <c r="D1017" s="6" t="s">
        <v>2977</v>
      </c>
      <c r="E1017" s="7" t="s">
        <v>2978</v>
      </c>
      <c r="F1017" s="5"/>
      <c r="G1017" s="5"/>
    </row>
    <row r="1018" spans="1:7" ht="99" thickBot="1">
      <c r="A1018" s="3">
        <v>1016</v>
      </c>
      <c r="B1018" s="3" t="s">
        <v>1666</v>
      </c>
      <c r="C1018" s="6" t="s">
        <v>2979</v>
      </c>
      <c r="D1018" s="6" t="s">
        <v>2980</v>
      </c>
      <c r="E1018" s="7" t="s">
        <v>2981</v>
      </c>
      <c r="F1018" s="5"/>
      <c r="G1018" s="5"/>
    </row>
    <row r="1019" spans="1:7" ht="99" thickBot="1">
      <c r="A1019" s="3">
        <v>1017</v>
      </c>
      <c r="B1019" s="3" t="s">
        <v>1666</v>
      </c>
      <c r="C1019" s="6" t="s">
        <v>2982</v>
      </c>
      <c r="D1019" s="6" t="s">
        <v>2983</v>
      </c>
      <c r="E1019" s="7" t="s">
        <v>2984</v>
      </c>
      <c r="F1019" s="5"/>
      <c r="G1019" s="5"/>
    </row>
    <row r="1020" spans="1:7" ht="99" thickBot="1">
      <c r="A1020" s="3">
        <v>1018</v>
      </c>
      <c r="B1020" s="3" t="s">
        <v>1666</v>
      </c>
      <c r="C1020" s="6" t="s">
        <v>2985</v>
      </c>
      <c r="D1020" s="6" t="s">
        <v>2986</v>
      </c>
      <c r="E1020" s="7" t="s">
        <v>2987</v>
      </c>
      <c r="F1020" s="5"/>
      <c r="G1020" s="5"/>
    </row>
    <row r="1021" spans="1:7" ht="126.6" thickBot="1">
      <c r="A1021" s="3">
        <v>1019</v>
      </c>
      <c r="B1021" s="3" t="s">
        <v>1666</v>
      </c>
      <c r="C1021" s="6" t="s">
        <v>2988</v>
      </c>
      <c r="D1021" s="6" t="s">
        <v>2989</v>
      </c>
      <c r="E1021" s="7" t="s">
        <v>2990</v>
      </c>
      <c r="F1021" s="5"/>
      <c r="G1021" s="5"/>
    </row>
    <row r="1022" spans="1:7" ht="99" thickBot="1">
      <c r="A1022" s="3">
        <v>1020</v>
      </c>
      <c r="B1022" s="3" t="s">
        <v>1666</v>
      </c>
      <c r="C1022" s="6" t="s">
        <v>2991</v>
      </c>
      <c r="D1022" s="6" t="s">
        <v>2992</v>
      </c>
      <c r="E1022" s="7" t="s">
        <v>2993</v>
      </c>
      <c r="F1022" s="5"/>
      <c r="G1022" s="5"/>
    </row>
    <row r="1023" spans="1:7" ht="99" thickBot="1">
      <c r="A1023" s="3">
        <v>1021</v>
      </c>
      <c r="B1023" s="3" t="s">
        <v>1666</v>
      </c>
      <c r="C1023" s="6" t="s">
        <v>2994</v>
      </c>
      <c r="D1023" s="6" t="s">
        <v>2583</v>
      </c>
      <c r="E1023" s="7" t="s">
        <v>2995</v>
      </c>
      <c r="F1023" s="5"/>
      <c r="G1023" s="5"/>
    </row>
    <row r="1024" spans="1:7" ht="112.8" thickBot="1">
      <c r="A1024" s="3">
        <v>1022</v>
      </c>
      <c r="B1024" s="3" t="s">
        <v>1666</v>
      </c>
      <c r="C1024" s="6" t="s">
        <v>2996</v>
      </c>
      <c r="D1024" s="6" t="s">
        <v>2997</v>
      </c>
      <c r="E1024" s="7" t="s">
        <v>2998</v>
      </c>
      <c r="F1024" s="5"/>
      <c r="G1024" s="5"/>
    </row>
    <row r="1025" spans="1:7" ht="112.8" thickBot="1">
      <c r="A1025" s="3">
        <v>1023</v>
      </c>
      <c r="B1025" s="3" t="s">
        <v>1666</v>
      </c>
      <c r="C1025" s="6" t="s">
        <v>2999</v>
      </c>
      <c r="D1025" s="6" t="s">
        <v>3000</v>
      </c>
      <c r="E1025" s="7" t="s">
        <v>3001</v>
      </c>
      <c r="F1025" s="5"/>
      <c r="G1025" s="5"/>
    </row>
    <row r="1026" spans="1:7" ht="99" thickBot="1">
      <c r="A1026" s="3">
        <v>1024</v>
      </c>
      <c r="B1026" s="3" t="s">
        <v>1666</v>
      </c>
      <c r="C1026" s="6" t="s">
        <v>3002</v>
      </c>
      <c r="D1026" s="6" t="s">
        <v>3003</v>
      </c>
      <c r="E1026" s="7" t="s">
        <v>3004</v>
      </c>
      <c r="F1026" s="5"/>
      <c r="G1026" s="5"/>
    </row>
    <row r="1027" spans="1:7" ht="99" thickBot="1">
      <c r="A1027" s="3">
        <v>1025</v>
      </c>
      <c r="B1027" s="3" t="s">
        <v>1666</v>
      </c>
      <c r="C1027" s="6" t="s">
        <v>3005</v>
      </c>
      <c r="D1027" s="6" t="s">
        <v>3006</v>
      </c>
      <c r="E1027" s="7" t="s">
        <v>3007</v>
      </c>
      <c r="F1027" s="5"/>
      <c r="G1027" s="5"/>
    </row>
    <row r="1028" spans="1:7" ht="99" thickBot="1">
      <c r="A1028" s="3">
        <v>1026</v>
      </c>
      <c r="B1028" s="3" t="s">
        <v>1666</v>
      </c>
      <c r="C1028" s="6" t="s">
        <v>3008</v>
      </c>
      <c r="D1028" s="6" t="s">
        <v>3009</v>
      </c>
      <c r="E1028" s="7" t="s">
        <v>3010</v>
      </c>
      <c r="F1028" s="5"/>
      <c r="G1028" s="5"/>
    </row>
    <row r="1029" spans="1:7" ht="99" thickBot="1">
      <c r="A1029" s="3">
        <v>1027</v>
      </c>
      <c r="B1029" s="3" t="s">
        <v>1666</v>
      </c>
      <c r="C1029" s="6" t="s">
        <v>3011</v>
      </c>
      <c r="D1029" s="6" t="s">
        <v>3012</v>
      </c>
      <c r="E1029" s="7" t="s">
        <v>3013</v>
      </c>
      <c r="F1029" s="5"/>
      <c r="G1029" s="5"/>
    </row>
    <row r="1030" spans="1:7" ht="126.6" thickBot="1">
      <c r="A1030" s="3">
        <v>1028</v>
      </c>
      <c r="B1030" s="3" t="s">
        <v>1666</v>
      </c>
      <c r="C1030" s="6" t="s">
        <v>3014</v>
      </c>
      <c r="D1030" s="6" t="s">
        <v>3015</v>
      </c>
      <c r="E1030" s="7" t="s">
        <v>3016</v>
      </c>
      <c r="F1030" s="5"/>
      <c r="G1030" s="5"/>
    </row>
    <row r="1031" spans="1:7" ht="99" thickBot="1">
      <c r="A1031" s="3">
        <v>1029</v>
      </c>
      <c r="B1031" s="3" t="s">
        <v>1666</v>
      </c>
      <c r="C1031" s="6" t="s">
        <v>3017</v>
      </c>
      <c r="D1031" s="6" t="s">
        <v>3018</v>
      </c>
      <c r="E1031" s="7" t="s">
        <v>3019</v>
      </c>
      <c r="F1031" s="5"/>
      <c r="G1031" s="5"/>
    </row>
    <row r="1032" spans="1:7" ht="112.8" thickBot="1">
      <c r="A1032" s="3">
        <v>1030</v>
      </c>
      <c r="B1032" s="3" t="s">
        <v>1666</v>
      </c>
      <c r="C1032" s="6" t="s">
        <v>3020</v>
      </c>
      <c r="D1032" s="6" t="s">
        <v>3021</v>
      </c>
      <c r="E1032" s="7" t="s">
        <v>1251</v>
      </c>
      <c r="F1032" s="5"/>
      <c r="G1032" s="5"/>
    </row>
    <row r="1033" spans="1:7" ht="99" thickBot="1">
      <c r="A1033" s="3">
        <v>1031</v>
      </c>
      <c r="B1033" s="3" t="s">
        <v>1666</v>
      </c>
      <c r="C1033" s="6" t="s">
        <v>3022</v>
      </c>
      <c r="D1033" s="6" t="s">
        <v>3023</v>
      </c>
      <c r="E1033" s="7" t="s">
        <v>3024</v>
      </c>
      <c r="F1033" s="5"/>
      <c r="G1033" s="5"/>
    </row>
    <row r="1034" spans="1:7" ht="112.8" thickBot="1">
      <c r="A1034" s="3">
        <v>1032</v>
      </c>
      <c r="B1034" s="3" t="s">
        <v>1666</v>
      </c>
      <c r="C1034" s="6" t="s">
        <v>3025</v>
      </c>
      <c r="D1034" s="6" t="s">
        <v>3026</v>
      </c>
      <c r="E1034" s="7" t="s">
        <v>3027</v>
      </c>
      <c r="F1034" s="5"/>
      <c r="G1034" s="5"/>
    </row>
    <row r="1035" spans="1:7" ht="99" thickBot="1">
      <c r="A1035" s="3">
        <v>1033</v>
      </c>
      <c r="B1035" s="3" t="s">
        <v>1666</v>
      </c>
      <c r="C1035" s="6" t="s">
        <v>3028</v>
      </c>
      <c r="D1035" s="6" t="s">
        <v>3029</v>
      </c>
      <c r="E1035" s="7" t="s">
        <v>3030</v>
      </c>
      <c r="F1035" s="5"/>
      <c r="G1035" s="5"/>
    </row>
    <row r="1036" spans="1:7" ht="126.6" thickBot="1">
      <c r="A1036" s="3">
        <v>1034</v>
      </c>
      <c r="B1036" s="3" t="s">
        <v>1666</v>
      </c>
      <c r="C1036" s="6" t="s">
        <v>3031</v>
      </c>
      <c r="D1036" s="6" t="s">
        <v>3032</v>
      </c>
      <c r="E1036" s="7" t="s">
        <v>3033</v>
      </c>
      <c r="F1036" s="5"/>
      <c r="G1036" s="5"/>
    </row>
    <row r="1037" spans="1:7" ht="99" thickBot="1">
      <c r="A1037" s="3">
        <v>1035</v>
      </c>
      <c r="B1037" s="3" t="s">
        <v>1666</v>
      </c>
      <c r="C1037" s="6" t="s">
        <v>3034</v>
      </c>
      <c r="D1037" s="6" t="s">
        <v>3035</v>
      </c>
      <c r="E1037" s="7" t="s">
        <v>3036</v>
      </c>
      <c r="F1037" s="5"/>
      <c r="G1037" s="5"/>
    </row>
    <row r="1038" spans="1:7" ht="99" thickBot="1">
      <c r="A1038" s="3">
        <v>1036</v>
      </c>
      <c r="B1038" s="3" t="s">
        <v>1666</v>
      </c>
      <c r="C1038" s="6" t="s">
        <v>3037</v>
      </c>
      <c r="D1038" s="6" t="s">
        <v>1867</v>
      </c>
      <c r="E1038" s="7" t="s">
        <v>3038</v>
      </c>
      <c r="F1038" s="5"/>
      <c r="G1038" s="5"/>
    </row>
    <row r="1039" spans="1:7" ht="99" thickBot="1">
      <c r="A1039" s="3">
        <v>1037</v>
      </c>
      <c r="B1039" s="3" t="s">
        <v>1666</v>
      </c>
      <c r="C1039" s="6" t="s">
        <v>3039</v>
      </c>
      <c r="D1039" s="6" t="s">
        <v>3040</v>
      </c>
      <c r="E1039" s="7" t="s">
        <v>3041</v>
      </c>
      <c r="F1039" s="5"/>
      <c r="G1039" s="5"/>
    </row>
    <row r="1040" spans="1:7" ht="112.8" thickBot="1">
      <c r="A1040" s="3">
        <v>1038</v>
      </c>
      <c r="B1040" s="3" t="s">
        <v>1666</v>
      </c>
      <c r="C1040" s="6" t="s">
        <v>3042</v>
      </c>
      <c r="D1040" s="6" t="s">
        <v>3043</v>
      </c>
      <c r="E1040" s="7" t="s">
        <v>3044</v>
      </c>
      <c r="F1040" s="5"/>
      <c r="G1040" s="5"/>
    </row>
    <row r="1041" spans="1:7" ht="126.6" thickBot="1">
      <c r="A1041" s="3">
        <v>1039</v>
      </c>
      <c r="B1041" s="3" t="s">
        <v>1666</v>
      </c>
      <c r="C1041" s="6" t="s">
        <v>3045</v>
      </c>
      <c r="D1041" s="6" t="s">
        <v>3046</v>
      </c>
      <c r="E1041" s="7" t="s">
        <v>3047</v>
      </c>
      <c r="F1041" s="5"/>
      <c r="G1041" s="5"/>
    </row>
    <row r="1042" spans="1:7" ht="99" thickBot="1">
      <c r="A1042" s="3">
        <v>1040</v>
      </c>
      <c r="B1042" s="3" t="s">
        <v>1666</v>
      </c>
      <c r="C1042" s="6" t="s">
        <v>3048</v>
      </c>
      <c r="D1042" s="6" t="s">
        <v>3049</v>
      </c>
      <c r="E1042" s="7" t="s">
        <v>3050</v>
      </c>
      <c r="F1042" s="5"/>
      <c r="G1042" s="5"/>
    </row>
    <row r="1043" spans="1:7" ht="112.8" thickBot="1">
      <c r="A1043" s="3">
        <v>1041</v>
      </c>
      <c r="B1043" s="3" t="s">
        <v>1666</v>
      </c>
      <c r="C1043" s="6" t="s">
        <v>3051</v>
      </c>
      <c r="D1043" s="6" t="s">
        <v>3052</v>
      </c>
      <c r="E1043" s="7" t="s">
        <v>3053</v>
      </c>
      <c r="F1043" s="5"/>
      <c r="G1043" s="5"/>
    </row>
    <row r="1044" spans="1:7" ht="112.8" thickBot="1">
      <c r="A1044" s="3">
        <v>1042</v>
      </c>
      <c r="B1044" s="3" t="s">
        <v>1666</v>
      </c>
      <c r="C1044" s="6" t="s">
        <v>3054</v>
      </c>
      <c r="D1044" s="6" t="s">
        <v>3055</v>
      </c>
      <c r="E1044" s="7" t="s">
        <v>1712</v>
      </c>
      <c r="F1044" s="5"/>
      <c r="G1044" s="5"/>
    </row>
    <row r="1045" spans="1:7" ht="99" thickBot="1">
      <c r="A1045" s="3">
        <v>1043</v>
      </c>
      <c r="B1045" s="3" t="s">
        <v>1666</v>
      </c>
      <c r="C1045" s="6" t="s">
        <v>3056</v>
      </c>
      <c r="D1045" s="6" t="s">
        <v>3057</v>
      </c>
      <c r="E1045" s="7" t="s">
        <v>3058</v>
      </c>
      <c r="F1045" s="5"/>
      <c r="G1045" s="5"/>
    </row>
    <row r="1046" spans="1:7" ht="99" thickBot="1">
      <c r="A1046" s="3">
        <v>1044</v>
      </c>
      <c r="B1046" s="3" t="s">
        <v>1666</v>
      </c>
      <c r="C1046" s="6" t="s">
        <v>3059</v>
      </c>
      <c r="D1046" s="6" t="s">
        <v>3060</v>
      </c>
      <c r="E1046" s="7" t="s">
        <v>3061</v>
      </c>
      <c r="F1046" s="5"/>
      <c r="G1046" s="5"/>
    </row>
    <row r="1047" spans="1:7" ht="99" thickBot="1">
      <c r="A1047" s="3">
        <v>1045</v>
      </c>
      <c r="B1047" s="3" t="s">
        <v>1666</v>
      </c>
      <c r="C1047" s="6" t="s">
        <v>3062</v>
      </c>
      <c r="D1047" s="6" t="s">
        <v>3063</v>
      </c>
      <c r="E1047" s="7" t="s">
        <v>3064</v>
      </c>
      <c r="F1047" s="5"/>
      <c r="G1047" s="5"/>
    </row>
    <row r="1048" spans="1:7" ht="99" thickBot="1">
      <c r="A1048" s="3">
        <v>1046</v>
      </c>
      <c r="B1048" s="3" t="s">
        <v>1666</v>
      </c>
      <c r="C1048" s="6" t="s">
        <v>3065</v>
      </c>
      <c r="D1048" s="6" t="s">
        <v>3066</v>
      </c>
      <c r="E1048" s="7" t="s">
        <v>2819</v>
      </c>
      <c r="F1048" s="5"/>
      <c r="G1048" s="5"/>
    </row>
    <row r="1049" spans="1:7" ht="99" thickBot="1">
      <c r="A1049" s="3">
        <v>1047</v>
      </c>
      <c r="B1049" s="3" t="s">
        <v>1666</v>
      </c>
      <c r="C1049" s="6" t="s">
        <v>3067</v>
      </c>
      <c r="D1049" s="6" t="s">
        <v>3068</v>
      </c>
      <c r="E1049" s="7" t="s">
        <v>3069</v>
      </c>
      <c r="F1049" s="5"/>
      <c r="G1049" s="5"/>
    </row>
    <row r="1050" spans="1:7" ht="99" thickBot="1">
      <c r="A1050" s="3">
        <v>1048</v>
      </c>
      <c r="B1050" s="3" t="s">
        <v>1666</v>
      </c>
      <c r="C1050" s="6" t="s">
        <v>3070</v>
      </c>
      <c r="D1050" s="6" t="s">
        <v>3071</v>
      </c>
      <c r="E1050" s="7" t="s">
        <v>3072</v>
      </c>
      <c r="F1050" s="5"/>
      <c r="G1050" s="5"/>
    </row>
    <row r="1051" spans="1:7" ht="112.8" thickBot="1">
      <c r="A1051" s="3">
        <v>1049</v>
      </c>
      <c r="B1051" s="3" t="s">
        <v>1666</v>
      </c>
      <c r="C1051" s="6" t="s">
        <v>3073</v>
      </c>
      <c r="D1051" s="6" t="s">
        <v>3074</v>
      </c>
      <c r="E1051" s="7" t="s">
        <v>3075</v>
      </c>
      <c r="F1051" s="5"/>
      <c r="G1051" s="5"/>
    </row>
    <row r="1052" spans="1:7" ht="112.8" thickBot="1">
      <c r="A1052" s="3">
        <v>1050</v>
      </c>
      <c r="B1052" s="3" t="s">
        <v>1666</v>
      </c>
      <c r="C1052" s="6" t="s">
        <v>3076</v>
      </c>
      <c r="D1052" s="6" t="s">
        <v>3077</v>
      </c>
      <c r="E1052" s="7" t="s">
        <v>3078</v>
      </c>
      <c r="F1052" s="5"/>
      <c r="G1052" s="5"/>
    </row>
    <row r="1053" spans="1:7" ht="112.8" thickBot="1">
      <c r="A1053" s="3">
        <v>1051</v>
      </c>
      <c r="B1053" s="3" t="s">
        <v>1666</v>
      </c>
      <c r="C1053" s="6" t="s">
        <v>3079</v>
      </c>
      <c r="D1053" s="6" t="s">
        <v>3080</v>
      </c>
      <c r="E1053" s="7" t="s">
        <v>3081</v>
      </c>
      <c r="F1053" s="5"/>
      <c r="G1053" s="5"/>
    </row>
    <row r="1054" spans="1:7" ht="99" thickBot="1">
      <c r="A1054" s="3">
        <v>1052</v>
      </c>
      <c r="B1054" s="3" t="s">
        <v>1666</v>
      </c>
      <c r="C1054" s="6" t="s">
        <v>3082</v>
      </c>
      <c r="D1054" s="6" t="s">
        <v>3083</v>
      </c>
      <c r="E1054" s="7" t="s">
        <v>3084</v>
      </c>
      <c r="F1054" s="5"/>
      <c r="G1054" s="5"/>
    </row>
    <row r="1055" spans="1:7" ht="99" thickBot="1">
      <c r="A1055" s="3">
        <v>1053</v>
      </c>
      <c r="B1055" s="3" t="s">
        <v>1666</v>
      </c>
      <c r="C1055" s="6" t="s">
        <v>3085</v>
      </c>
      <c r="D1055" s="6" t="s">
        <v>3086</v>
      </c>
      <c r="E1055" s="7" t="s">
        <v>3087</v>
      </c>
      <c r="F1055" s="5"/>
      <c r="G1055" s="5"/>
    </row>
    <row r="1056" spans="1:7" ht="99" thickBot="1">
      <c r="A1056" s="3">
        <v>1054</v>
      </c>
      <c r="B1056" s="3" t="s">
        <v>1666</v>
      </c>
      <c r="C1056" s="6" t="s">
        <v>3088</v>
      </c>
      <c r="D1056" s="6" t="s">
        <v>3089</v>
      </c>
      <c r="E1056" s="7" t="s">
        <v>3090</v>
      </c>
      <c r="F1056" s="5"/>
      <c r="G1056" s="5"/>
    </row>
    <row r="1057" spans="1:7" ht="112.8" thickBot="1">
      <c r="A1057" s="3">
        <v>1055</v>
      </c>
      <c r="B1057" s="3" t="s">
        <v>1666</v>
      </c>
      <c r="C1057" s="6" t="s">
        <v>3091</v>
      </c>
      <c r="D1057" s="6" t="s">
        <v>3092</v>
      </c>
      <c r="E1057" s="7" t="s">
        <v>3093</v>
      </c>
      <c r="F1057" s="5"/>
      <c r="G1057" s="5"/>
    </row>
    <row r="1058" spans="1:7" ht="112.8" thickBot="1">
      <c r="A1058" s="3">
        <v>1056</v>
      </c>
      <c r="B1058" s="3" t="s">
        <v>1666</v>
      </c>
      <c r="C1058" s="6" t="s">
        <v>3094</v>
      </c>
      <c r="D1058" s="6" t="s">
        <v>3095</v>
      </c>
      <c r="E1058" s="7" t="s">
        <v>3096</v>
      </c>
      <c r="F1058" s="5"/>
      <c r="G1058" s="5"/>
    </row>
    <row r="1059" spans="1:7" ht="99" thickBot="1">
      <c r="A1059" s="3">
        <v>1057</v>
      </c>
      <c r="B1059" s="3" t="s">
        <v>1666</v>
      </c>
      <c r="C1059" s="6" t="s">
        <v>3097</v>
      </c>
      <c r="D1059" s="6" t="s">
        <v>1936</v>
      </c>
      <c r="E1059" s="7" t="s">
        <v>3098</v>
      </c>
      <c r="F1059" s="5"/>
      <c r="G1059" s="5"/>
    </row>
    <row r="1060" spans="1:7" ht="99" thickBot="1">
      <c r="A1060" s="3">
        <v>1058</v>
      </c>
      <c r="B1060" s="3" t="s">
        <v>1666</v>
      </c>
      <c r="C1060" s="6" t="s">
        <v>3099</v>
      </c>
      <c r="D1060" s="6" t="s">
        <v>3100</v>
      </c>
      <c r="E1060" s="7" t="s">
        <v>3101</v>
      </c>
      <c r="F1060" s="5"/>
      <c r="G1060" s="5"/>
    </row>
    <row r="1061" spans="1:7" ht="99" thickBot="1">
      <c r="A1061" s="3">
        <v>1059</v>
      </c>
      <c r="B1061" s="3" t="s">
        <v>1666</v>
      </c>
      <c r="C1061" s="6" t="s">
        <v>3102</v>
      </c>
      <c r="D1061" s="6" t="s">
        <v>3103</v>
      </c>
      <c r="E1061" s="7" t="s">
        <v>3104</v>
      </c>
      <c r="F1061" s="5"/>
      <c r="G1061" s="5"/>
    </row>
    <row r="1062" spans="1:7" ht="99" thickBot="1">
      <c r="A1062" s="3">
        <v>1060</v>
      </c>
      <c r="B1062" s="3" t="s">
        <v>1666</v>
      </c>
      <c r="C1062" s="6" t="s">
        <v>3105</v>
      </c>
      <c r="D1062" s="6" t="s">
        <v>2370</v>
      </c>
      <c r="E1062" s="7" t="s">
        <v>3106</v>
      </c>
      <c r="F1062" s="5"/>
      <c r="G1062" s="5"/>
    </row>
    <row r="1063" spans="1:7" ht="112.8" thickBot="1">
      <c r="A1063" s="3">
        <v>1061</v>
      </c>
      <c r="B1063" s="3" t="s">
        <v>1666</v>
      </c>
      <c r="C1063" s="6" t="s">
        <v>3107</v>
      </c>
      <c r="D1063" s="6" t="s">
        <v>3108</v>
      </c>
      <c r="E1063" s="7" t="s">
        <v>3109</v>
      </c>
      <c r="F1063" s="5"/>
      <c r="G1063" s="5"/>
    </row>
    <row r="1064" spans="1:7" ht="99" thickBot="1">
      <c r="A1064" s="3">
        <v>1062</v>
      </c>
      <c r="B1064" s="3" t="s">
        <v>1666</v>
      </c>
      <c r="C1064" s="6" t="s">
        <v>3110</v>
      </c>
      <c r="D1064" s="6" t="s">
        <v>3111</v>
      </c>
      <c r="E1064" s="7" t="s">
        <v>2110</v>
      </c>
      <c r="F1064" s="5"/>
      <c r="G1064" s="5"/>
    </row>
    <row r="1065" spans="1:7" ht="99" thickBot="1">
      <c r="A1065" s="3">
        <v>1063</v>
      </c>
      <c r="B1065" s="3" t="s">
        <v>1666</v>
      </c>
      <c r="C1065" s="6" t="s">
        <v>3112</v>
      </c>
      <c r="D1065" s="6" t="s">
        <v>3113</v>
      </c>
      <c r="E1065" s="7" t="s">
        <v>3114</v>
      </c>
      <c r="F1065" s="5"/>
      <c r="G1065" s="5"/>
    </row>
    <row r="1066" spans="1:7" ht="112.8" thickBot="1">
      <c r="A1066" s="3">
        <v>1064</v>
      </c>
      <c r="B1066" s="3" t="s">
        <v>1666</v>
      </c>
      <c r="C1066" s="6" t="s">
        <v>3115</v>
      </c>
      <c r="D1066" s="6" t="s">
        <v>3116</v>
      </c>
      <c r="E1066" s="7" t="s">
        <v>3117</v>
      </c>
      <c r="F1066" s="5"/>
      <c r="G1066" s="5"/>
    </row>
    <row r="1067" spans="1:7" ht="99" thickBot="1">
      <c r="A1067" s="3">
        <v>1065</v>
      </c>
      <c r="B1067" s="3" t="s">
        <v>1666</v>
      </c>
      <c r="C1067" s="6" t="s">
        <v>3118</v>
      </c>
      <c r="D1067" s="6" t="s">
        <v>3119</v>
      </c>
      <c r="E1067" s="7" t="s">
        <v>3120</v>
      </c>
      <c r="F1067" s="5"/>
      <c r="G1067" s="5"/>
    </row>
    <row r="1068" spans="1:7" ht="99" thickBot="1">
      <c r="A1068" s="3">
        <v>1066</v>
      </c>
      <c r="B1068" s="3" t="s">
        <v>1666</v>
      </c>
      <c r="C1068" s="6" t="s">
        <v>3121</v>
      </c>
      <c r="D1068" s="6" t="s">
        <v>2822</v>
      </c>
      <c r="E1068" s="7" t="s">
        <v>3122</v>
      </c>
      <c r="F1068" s="5"/>
      <c r="G1068" s="5"/>
    </row>
    <row r="1069" spans="1:7" ht="112.8" thickBot="1">
      <c r="A1069" s="3">
        <v>1067</v>
      </c>
      <c r="B1069" s="3" t="s">
        <v>1666</v>
      </c>
      <c r="C1069" s="6" t="s">
        <v>3123</v>
      </c>
      <c r="D1069" s="6" t="s">
        <v>3124</v>
      </c>
      <c r="E1069" s="7" t="s">
        <v>3125</v>
      </c>
      <c r="F1069" s="5"/>
      <c r="G1069" s="5"/>
    </row>
    <row r="1070" spans="1:7" ht="112.8" thickBot="1">
      <c r="A1070" s="3">
        <v>1068</v>
      </c>
      <c r="B1070" s="3" t="s">
        <v>1666</v>
      </c>
      <c r="C1070" s="6" t="s">
        <v>3126</v>
      </c>
      <c r="D1070" s="6" t="s">
        <v>3127</v>
      </c>
      <c r="E1070" s="7" t="s">
        <v>3128</v>
      </c>
      <c r="F1070" s="5"/>
      <c r="G1070" s="5"/>
    </row>
    <row r="1071" spans="1:7" ht="99" thickBot="1">
      <c r="A1071" s="3">
        <v>1069</v>
      </c>
      <c r="B1071" s="3" t="s">
        <v>1666</v>
      </c>
      <c r="C1071" s="6" t="s">
        <v>3129</v>
      </c>
      <c r="D1071" s="6" t="s">
        <v>3130</v>
      </c>
      <c r="E1071" s="7" t="s">
        <v>3131</v>
      </c>
      <c r="F1071" s="5"/>
      <c r="G1071" s="5"/>
    </row>
    <row r="1072" spans="1:7" ht="99" thickBot="1">
      <c r="A1072" s="3">
        <v>1070</v>
      </c>
      <c r="B1072" s="3" t="s">
        <v>1666</v>
      </c>
      <c r="C1072" s="6" t="s">
        <v>3132</v>
      </c>
      <c r="D1072" s="6" t="s">
        <v>3133</v>
      </c>
      <c r="E1072" s="7" t="s">
        <v>3134</v>
      </c>
      <c r="F1072" s="5"/>
      <c r="G1072" s="5"/>
    </row>
    <row r="1073" spans="1:7" ht="112.8" thickBot="1">
      <c r="A1073" s="3">
        <v>1071</v>
      </c>
      <c r="B1073" s="3" t="s">
        <v>1666</v>
      </c>
      <c r="C1073" s="6" t="s">
        <v>3135</v>
      </c>
      <c r="D1073" s="6" t="s">
        <v>2897</v>
      </c>
      <c r="E1073" s="7" t="s">
        <v>3136</v>
      </c>
      <c r="F1073" s="5"/>
      <c r="G1073" s="5"/>
    </row>
    <row r="1074" spans="1:7" ht="99" thickBot="1">
      <c r="A1074" s="3">
        <v>1072</v>
      </c>
      <c r="B1074" s="3" t="s">
        <v>1666</v>
      </c>
      <c r="C1074" s="6" t="s">
        <v>3137</v>
      </c>
      <c r="D1074" s="6" t="s">
        <v>3138</v>
      </c>
      <c r="E1074" s="7" t="s">
        <v>3139</v>
      </c>
      <c r="F1074" s="5"/>
      <c r="G1074" s="5"/>
    </row>
    <row r="1075" spans="1:7" ht="112.8" thickBot="1">
      <c r="A1075" s="3">
        <v>1073</v>
      </c>
      <c r="B1075" s="3" t="s">
        <v>1666</v>
      </c>
      <c r="C1075" s="6" t="s">
        <v>3140</v>
      </c>
      <c r="D1075" s="6" t="s">
        <v>3141</v>
      </c>
      <c r="E1075" s="7" t="s">
        <v>3142</v>
      </c>
      <c r="F1075" s="5"/>
      <c r="G1075" s="5"/>
    </row>
    <row r="1076" spans="1:7" ht="112.8" thickBot="1">
      <c r="A1076" s="3">
        <v>1074</v>
      </c>
      <c r="B1076" s="3" t="s">
        <v>1666</v>
      </c>
      <c r="C1076" s="6" t="s">
        <v>3143</v>
      </c>
      <c r="D1076" s="6" t="s">
        <v>3144</v>
      </c>
      <c r="E1076" s="7" t="s">
        <v>1907</v>
      </c>
      <c r="F1076" s="5"/>
      <c r="G1076" s="5"/>
    </row>
    <row r="1077" spans="1:7" ht="99" thickBot="1">
      <c r="A1077" s="3">
        <v>1075</v>
      </c>
      <c r="B1077" s="3" t="s">
        <v>1666</v>
      </c>
      <c r="C1077" s="6" t="s">
        <v>3145</v>
      </c>
      <c r="D1077" s="6" t="s">
        <v>300</v>
      </c>
      <c r="E1077" s="7" t="s">
        <v>3146</v>
      </c>
      <c r="F1077" s="5"/>
      <c r="G1077" s="5"/>
    </row>
    <row r="1078" spans="1:7" ht="112.8" thickBot="1">
      <c r="A1078" s="3">
        <v>1076</v>
      </c>
      <c r="B1078" s="3" t="s">
        <v>1666</v>
      </c>
      <c r="C1078" s="6" t="s">
        <v>3147</v>
      </c>
      <c r="D1078" s="6" t="s">
        <v>3148</v>
      </c>
      <c r="E1078" s="7" t="s">
        <v>3149</v>
      </c>
      <c r="F1078" s="5"/>
      <c r="G1078" s="5"/>
    </row>
    <row r="1079" spans="1:7" ht="112.8" thickBot="1">
      <c r="A1079" s="3">
        <v>1077</v>
      </c>
      <c r="B1079" s="3" t="s">
        <v>1666</v>
      </c>
      <c r="C1079" s="6" t="s">
        <v>3150</v>
      </c>
      <c r="D1079" s="6" t="s">
        <v>3151</v>
      </c>
      <c r="E1079" s="7" t="s">
        <v>3152</v>
      </c>
      <c r="F1079" s="5"/>
      <c r="G1079" s="5"/>
    </row>
    <row r="1080" spans="1:7" ht="99" thickBot="1">
      <c r="A1080" s="3">
        <v>1078</v>
      </c>
      <c r="B1080" s="3" t="s">
        <v>1666</v>
      </c>
      <c r="C1080" s="6" t="s">
        <v>3153</v>
      </c>
      <c r="D1080" s="6" t="s">
        <v>3154</v>
      </c>
      <c r="E1080" s="7" t="s">
        <v>3155</v>
      </c>
      <c r="F1080" s="5"/>
      <c r="G1080" s="5"/>
    </row>
    <row r="1081" spans="1:7" ht="99" thickBot="1">
      <c r="A1081" s="3">
        <v>1079</v>
      </c>
      <c r="B1081" s="3" t="s">
        <v>1666</v>
      </c>
      <c r="C1081" s="6" t="s">
        <v>3156</v>
      </c>
      <c r="D1081" s="6" t="s">
        <v>932</v>
      </c>
      <c r="E1081" s="7" t="s">
        <v>3157</v>
      </c>
      <c r="F1081" s="5"/>
      <c r="G1081" s="5"/>
    </row>
    <row r="1082" spans="1:7" ht="112.8" thickBot="1">
      <c r="A1082" s="3">
        <v>1080</v>
      </c>
      <c r="B1082" s="3" t="s">
        <v>1666</v>
      </c>
      <c r="C1082" s="6" t="s">
        <v>3158</v>
      </c>
      <c r="D1082" s="6" t="s">
        <v>3159</v>
      </c>
      <c r="E1082" s="7" t="s">
        <v>3160</v>
      </c>
      <c r="F1082" s="5"/>
      <c r="G1082" s="5"/>
    </row>
    <row r="1083" spans="1:7" ht="99" thickBot="1">
      <c r="A1083" s="3">
        <v>1081</v>
      </c>
      <c r="B1083" s="3" t="s">
        <v>1666</v>
      </c>
      <c r="C1083" s="6" t="s">
        <v>3161</v>
      </c>
      <c r="D1083" s="6" t="s">
        <v>3162</v>
      </c>
      <c r="E1083" s="7" t="s">
        <v>3163</v>
      </c>
      <c r="F1083" s="5"/>
      <c r="G1083" s="5"/>
    </row>
    <row r="1084" spans="1:7" ht="112.8" thickBot="1">
      <c r="A1084" s="3">
        <v>1082</v>
      </c>
      <c r="B1084" s="3" t="s">
        <v>1666</v>
      </c>
      <c r="C1084" s="6" t="s">
        <v>3164</v>
      </c>
      <c r="D1084" s="6" t="s">
        <v>3165</v>
      </c>
      <c r="E1084" s="7" t="s">
        <v>3166</v>
      </c>
      <c r="F1084" s="5"/>
      <c r="G1084" s="5"/>
    </row>
    <row r="1085" spans="1:7" ht="99" thickBot="1">
      <c r="A1085" s="3">
        <v>1083</v>
      </c>
      <c r="B1085" s="3" t="s">
        <v>1666</v>
      </c>
      <c r="C1085" s="6" t="s">
        <v>3167</v>
      </c>
      <c r="D1085" s="6" t="s">
        <v>3168</v>
      </c>
      <c r="E1085" s="7" t="s">
        <v>3169</v>
      </c>
      <c r="F1085" s="5"/>
      <c r="G1085" s="5"/>
    </row>
    <row r="1086" spans="1:7" ht="99" thickBot="1">
      <c r="A1086" s="3">
        <v>1084</v>
      </c>
      <c r="B1086" s="3" t="s">
        <v>1666</v>
      </c>
      <c r="C1086" s="6" t="s">
        <v>3170</v>
      </c>
      <c r="D1086" s="6" t="s">
        <v>2549</v>
      </c>
      <c r="E1086" s="7" t="s">
        <v>3171</v>
      </c>
      <c r="F1086" s="5"/>
      <c r="G1086" s="5"/>
    </row>
    <row r="1087" spans="1:7" ht="99" thickBot="1">
      <c r="A1087" s="3">
        <v>1085</v>
      </c>
      <c r="B1087" s="3" t="s">
        <v>1666</v>
      </c>
      <c r="C1087" s="6" t="s">
        <v>3172</v>
      </c>
      <c r="D1087" s="6" t="s">
        <v>3173</v>
      </c>
      <c r="E1087" s="7" t="s">
        <v>3174</v>
      </c>
      <c r="F1087" s="5"/>
      <c r="G1087" s="5"/>
    </row>
    <row r="1088" spans="1:7" ht="99" thickBot="1">
      <c r="A1088" s="3">
        <v>1086</v>
      </c>
      <c r="B1088" s="3" t="s">
        <v>1666</v>
      </c>
      <c r="C1088" s="6" t="s">
        <v>3175</v>
      </c>
      <c r="D1088" s="6" t="s">
        <v>3176</v>
      </c>
      <c r="E1088" s="7" t="s">
        <v>2036</v>
      </c>
      <c r="F1088" s="5"/>
      <c r="G1088" s="5"/>
    </row>
    <row r="1089" spans="1:7" ht="99" thickBot="1">
      <c r="A1089" s="3">
        <v>1087</v>
      </c>
      <c r="B1089" s="3" t="s">
        <v>1666</v>
      </c>
      <c r="C1089" s="6" t="s">
        <v>3177</v>
      </c>
      <c r="D1089" s="6" t="s">
        <v>3178</v>
      </c>
      <c r="E1089" s="7" t="s">
        <v>3179</v>
      </c>
      <c r="F1089" s="5"/>
      <c r="G1089" s="5"/>
    </row>
    <row r="1090" spans="1:7" ht="99" thickBot="1">
      <c r="A1090" s="3">
        <v>1088</v>
      </c>
      <c r="B1090" s="3" t="s">
        <v>1666</v>
      </c>
      <c r="C1090" s="6" t="s">
        <v>3180</v>
      </c>
      <c r="D1090" s="6" t="s">
        <v>3181</v>
      </c>
      <c r="E1090" s="7" t="s">
        <v>3182</v>
      </c>
      <c r="F1090" s="5"/>
      <c r="G1090" s="5"/>
    </row>
    <row r="1091" spans="1:7" ht="112.8" thickBot="1">
      <c r="A1091" s="3">
        <v>1089</v>
      </c>
      <c r="B1091" s="3" t="s">
        <v>1666</v>
      </c>
      <c r="C1091" s="6" t="s">
        <v>3183</v>
      </c>
      <c r="D1091" s="6" t="s">
        <v>3184</v>
      </c>
      <c r="E1091" s="7" t="s">
        <v>3185</v>
      </c>
      <c r="F1091" s="5"/>
      <c r="G1091" s="5"/>
    </row>
    <row r="1092" spans="1:7" ht="99" thickBot="1">
      <c r="A1092" s="3">
        <v>1090</v>
      </c>
      <c r="B1092" s="3" t="s">
        <v>1666</v>
      </c>
      <c r="C1092" s="6" t="s">
        <v>3186</v>
      </c>
      <c r="D1092" s="6" t="s">
        <v>3187</v>
      </c>
      <c r="E1092" s="7" t="s">
        <v>3188</v>
      </c>
      <c r="F1092" s="5"/>
      <c r="G1092" s="5"/>
    </row>
    <row r="1093" spans="1:7" ht="112.8" thickBot="1">
      <c r="A1093" s="3">
        <v>1091</v>
      </c>
      <c r="B1093" s="3" t="s">
        <v>1666</v>
      </c>
      <c r="C1093" s="6" t="s">
        <v>3189</v>
      </c>
      <c r="D1093" s="6" t="s">
        <v>3190</v>
      </c>
      <c r="E1093" s="7" t="s">
        <v>3191</v>
      </c>
      <c r="F1093" s="5"/>
      <c r="G1093" s="5"/>
    </row>
    <row r="1094" spans="1:7" ht="112.8" thickBot="1">
      <c r="A1094" s="3">
        <v>1092</v>
      </c>
      <c r="B1094" s="3" t="s">
        <v>1666</v>
      </c>
      <c r="C1094" s="6" t="s">
        <v>3192</v>
      </c>
      <c r="D1094" s="6" t="s">
        <v>2567</v>
      </c>
      <c r="E1094" s="7" t="s">
        <v>3193</v>
      </c>
      <c r="F1094" s="5"/>
      <c r="G1094" s="5"/>
    </row>
    <row r="1095" spans="1:7" ht="99" thickBot="1">
      <c r="A1095" s="3">
        <v>1093</v>
      </c>
      <c r="B1095" s="3" t="s">
        <v>1666</v>
      </c>
      <c r="C1095" s="6" t="s">
        <v>3194</v>
      </c>
      <c r="D1095" s="6" t="s">
        <v>2752</v>
      </c>
      <c r="E1095" s="7" t="s">
        <v>3195</v>
      </c>
      <c r="F1095" s="5"/>
      <c r="G1095" s="5"/>
    </row>
    <row r="1096" spans="1:7" ht="112.8" thickBot="1">
      <c r="A1096" s="3">
        <v>1094</v>
      </c>
      <c r="B1096" s="3" t="s">
        <v>1666</v>
      </c>
      <c r="C1096" s="6" t="s">
        <v>3196</v>
      </c>
      <c r="D1096" s="6" t="s">
        <v>3197</v>
      </c>
      <c r="E1096" s="7" t="s">
        <v>3198</v>
      </c>
      <c r="F1096" s="5"/>
      <c r="G1096" s="5"/>
    </row>
    <row r="1097" spans="1:7" ht="99" thickBot="1">
      <c r="A1097" s="3">
        <v>1095</v>
      </c>
      <c r="B1097" s="3" t="s">
        <v>1666</v>
      </c>
      <c r="C1097" s="6" t="s">
        <v>3199</v>
      </c>
      <c r="D1097" s="6" t="s">
        <v>2672</v>
      </c>
      <c r="E1097" s="7" t="s">
        <v>1918</v>
      </c>
      <c r="F1097" s="5"/>
      <c r="G1097" s="5"/>
    </row>
    <row r="1098" spans="1:7" ht="112.8" thickBot="1">
      <c r="A1098" s="3">
        <v>1096</v>
      </c>
      <c r="B1098" s="3" t="s">
        <v>1666</v>
      </c>
      <c r="C1098" s="6" t="s">
        <v>3200</v>
      </c>
      <c r="D1098" s="6" t="s">
        <v>3201</v>
      </c>
      <c r="E1098" s="7" t="s">
        <v>3202</v>
      </c>
      <c r="F1098" s="5"/>
      <c r="G1098" s="5"/>
    </row>
    <row r="1099" spans="1:7" ht="112.8" thickBot="1">
      <c r="A1099" s="3">
        <v>1097</v>
      </c>
      <c r="B1099" s="3" t="s">
        <v>1666</v>
      </c>
      <c r="C1099" s="6" t="s">
        <v>3203</v>
      </c>
      <c r="D1099" s="6" t="s">
        <v>3204</v>
      </c>
      <c r="E1099" s="7" t="s">
        <v>3205</v>
      </c>
      <c r="F1099" s="5"/>
      <c r="G1099" s="5"/>
    </row>
    <row r="1100" spans="1:7" ht="99" thickBot="1">
      <c r="A1100" s="3">
        <v>1098</v>
      </c>
      <c r="B1100" s="3" t="s">
        <v>1666</v>
      </c>
      <c r="C1100" s="6" t="s">
        <v>3206</v>
      </c>
      <c r="D1100" s="6" t="s">
        <v>2819</v>
      </c>
      <c r="E1100" s="7" t="s">
        <v>3207</v>
      </c>
      <c r="F1100" s="5"/>
      <c r="G1100" s="5"/>
    </row>
    <row r="1101" spans="1:7" ht="99" thickBot="1">
      <c r="A1101" s="3">
        <v>1099</v>
      </c>
      <c r="B1101" s="3" t="s">
        <v>1666</v>
      </c>
      <c r="C1101" s="6" t="s">
        <v>3208</v>
      </c>
      <c r="D1101" s="6" t="s">
        <v>3209</v>
      </c>
      <c r="E1101" s="7" t="s">
        <v>2178</v>
      </c>
      <c r="F1101" s="5"/>
      <c r="G1101" s="5"/>
    </row>
    <row r="1102" spans="1:7" ht="99" thickBot="1">
      <c r="A1102" s="3">
        <v>1100</v>
      </c>
      <c r="B1102" s="3" t="s">
        <v>1666</v>
      </c>
      <c r="C1102" s="6" t="s">
        <v>3210</v>
      </c>
      <c r="D1102" s="6" t="s">
        <v>3211</v>
      </c>
      <c r="E1102" s="7" t="s">
        <v>3212</v>
      </c>
      <c r="F1102" s="5"/>
      <c r="G1102" s="5"/>
    </row>
    <row r="1103" spans="1:7" ht="99" thickBot="1">
      <c r="A1103" s="3">
        <v>1101</v>
      </c>
      <c r="B1103" s="3" t="s">
        <v>1666</v>
      </c>
      <c r="C1103" s="6" t="s">
        <v>3213</v>
      </c>
      <c r="D1103" s="6" t="s">
        <v>3214</v>
      </c>
      <c r="E1103" s="7" t="s">
        <v>3215</v>
      </c>
      <c r="F1103" s="5"/>
      <c r="G1103" s="5"/>
    </row>
    <row r="1104" spans="1:7" ht="99" thickBot="1">
      <c r="A1104" s="3">
        <v>1102</v>
      </c>
      <c r="B1104" s="3" t="s">
        <v>1666</v>
      </c>
      <c r="C1104" s="6" t="s">
        <v>3216</v>
      </c>
      <c r="D1104" s="6" t="s">
        <v>3217</v>
      </c>
      <c r="E1104" s="7" t="s">
        <v>3218</v>
      </c>
      <c r="F1104" s="5"/>
      <c r="G1104" s="5"/>
    </row>
    <row r="1105" spans="1:7" ht="112.8" thickBot="1">
      <c r="A1105" s="3">
        <v>1103</v>
      </c>
      <c r="B1105" s="3" t="s">
        <v>1666</v>
      </c>
      <c r="C1105" s="6" t="s">
        <v>3219</v>
      </c>
      <c r="D1105" s="6" t="s">
        <v>3220</v>
      </c>
      <c r="E1105" s="7" t="s">
        <v>3221</v>
      </c>
      <c r="F1105" s="5"/>
      <c r="G1105" s="5"/>
    </row>
    <row r="1106" spans="1:7" ht="99" thickBot="1">
      <c r="A1106" s="3">
        <v>1104</v>
      </c>
      <c r="B1106" s="3" t="s">
        <v>1666</v>
      </c>
      <c r="C1106" s="6" t="s">
        <v>3222</v>
      </c>
      <c r="D1106" s="6" t="s">
        <v>3223</v>
      </c>
      <c r="E1106" s="7" t="s">
        <v>3224</v>
      </c>
      <c r="F1106" s="5"/>
      <c r="G1106" s="5"/>
    </row>
    <row r="1107" spans="1:7" ht="112.8" thickBot="1">
      <c r="A1107" s="3">
        <v>1105</v>
      </c>
      <c r="B1107" s="3" t="s">
        <v>1666</v>
      </c>
      <c r="C1107" s="6" t="s">
        <v>3225</v>
      </c>
      <c r="D1107" s="6" t="s">
        <v>3226</v>
      </c>
      <c r="E1107" s="7" t="s">
        <v>3227</v>
      </c>
      <c r="F1107" s="5"/>
      <c r="G1107" s="5"/>
    </row>
    <row r="1108" spans="1:7" ht="126.6" thickBot="1">
      <c r="A1108" s="3">
        <v>1106</v>
      </c>
      <c r="B1108" s="3" t="s">
        <v>1666</v>
      </c>
      <c r="C1108" s="6" t="s">
        <v>3228</v>
      </c>
      <c r="D1108" s="6" t="s">
        <v>3229</v>
      </c>
      <c r="E1108" s="7" t="s">
        <v>3230</v>
      </c>
      <c r="F1108" s="5"/>
      <c r="G1108" s="5"/>
    </row>
    <row r="1109" spans="1:7" ht="99" thickBot="1">
      <c r="A1109" s="3">
        <v>1107</v>
      </c>
      <c r="B1109" s="3" t="s">
        <v>1666</v>
      </c>
      <c r="C1109" s="6" t="s">
        <v>3231</v>
      </c>
      <c r="D1109" s="6" t="s">
        <v>3232</v>
      </c>
      <c r="E1109" s="7" t="s">
        <v>3233</v>
      </c>
      <c r="F1109" s="5"/>
      <c r="G1109" s="5"/>
    </row>
    <row r="1110" spans="1:7" ht="99" thickBot="1">
      <c r="A1110" s="3">
        <v>1108</v>
      </c>
      <c r="B1110" s="3" t="s">
        <v>1666</v>
      </c>
      <c r="C1110" s="6" t="s">
        <v>3234</v>
      </c>
      <c r="D1110" s="6" t="s">
        <v>2911</v>
      </c>
      <c r="E1110" s="7" t="s">
        <v>3235</v>
      </c>
      <c r="F1110" s="5"/>
      <c r="G1110" s="5"/>
    </row>
    <row r="1111" spans="1:7" ht="99" thickBot="1">
      <c r="A1111" s="3">
        <v>1109</v>
      </c>
      <c r="B1111" s="3" t="s">
        <v>1666</v>
      </c>
      <c r="C1111" s="6" t="s">
        <v>3236</v>
      </c>
      <c r="D1111" s="6" t="s">
        <v>2822</v>
      </c>
      <c r="E1111" s="7" t="s">
        <v>3237</v>
      </c>
      <c r="F1111" s="5"/>
      <c r="G1111" s="5"/>
    </row>
    <row r="1112" spans="1:7" ht="112.8" thickBot="1">
      <c r="A1112" s="3">
        <v>1110</v>
      </c>
      <c r="B1112" s="3" t="s">
        <v>1666</v>
      </c>
      <c r="C1112" s="6" t="s">
        <v>3238</v>
      </c>
      <c r="D1112" s="6" t="s">
        <v>3239</v>
      </c>
      <c r="E1112" s="7" t="s">
        <v>3240</v>
      </c>
      <c r="F1112" s="5"/>
      <c r="G1112" s="5"/>
    </row>
    <row r="1113" spans="1:7" ht="99" thickBot="1">
      <c r="A1113" s="3">
        <v>1111</v>
      </c>
      <c r="B1113" s="3" t="s">
        <v>1666</v>
      </c>
      <c r="C1113" s="6" t="s">
        <v>3241</v>
      </c>
      <c r="D1113" s="6" t="s">
        <v>3242</v>
      </c>
      <c r="E1113" s="7" t="s">
        <v>3243</v>
      </c>
      <c r="F1113" s="5"/>
      <c r="G1113" s="5"/>
    </row>
    <row r="1114" spans="1:7" ht="126.6" thickBot="1">
      <c r="A1114" s="3">
        <v>1112</v>
      </c>
      <c r="B1114" s="3" t="s">
        <v>1666</v>
      </c>
      <c r="C1114" s="6" t="s">
        <v>3244</v>
      </c>
      <c r="D1114" s="6" t="s">
        <v>3245</v>
      </c>
      <c r="E1114" s="7" t="s">
        <v>3246</v>
      </c>
      <c r="F1114" s="5"/>
      <c r="G1114" s="5"/>
    </row>
    <row r="1115" spans="1:7" ht="99" thickBot="1">
      <c r="A1115" s="3">
        <v>1113</v>
      </c>
      <c r="B1115" s="3" t="s">
        <v>1666</v>
      </c>
      <c r="C1115" s="6" t="s">
        <v>3247</v>
      </c>
      <c r="D1115" s="6" t="s">
        <v>3248</v>
      </c>
      <c r="E1115" s="7" t="s">
        <v>3249</v>
      </c>
      <c r="F1115" s="5"/>
      <c r="G1115" s="5"/>
    </row>
    <row r="1116" spans="1:7" ht="99" thickBot="1">
      <c r="A1116" s="3">
        <v>1114</v>
      </c>
      <c r="B1116" s="3" t="s">
        <v>1666</v>
      </c>
      <c r="C1116" s="6" t="s">
        <v>3250</v>
      </c>
      <c r="D1116" s="6" t="s">
        <v>3251</v>
      </c>
      <c r="E1116" s="7" t="s">
        <v>3252</v>
      </c>
      <c r="F1116" s="5"/>
      <c r="G1116" s="5"/>
    </row>
    <row r="1117" spans="1:7" ht="99" thickBot="1">
      <c r="A1117" s="3">
        <v>1115</v>
      </c>
      <c r="B1117" s="3" t="s">
        <v>1666</v>
      </c>
      <c r="C1117" s="6" t="s">
        <v>3253</v>
      </c>
      <c r="D1117" s="6" t="s">
        <v>3254</v>
      </c>
      <c r="E1117" s="7" t="s">
        <v>3255</v>
      </c>
      <c r="F1117" s="5"/>
      <c r="G1117" s="5"/>
    </row>
    <row r="1118" spans="1:7" ht="99" thickBot="1">
      <c r="A1118" s="3">
        <v>1116</v>
      </c>
      <c r="B1118" s="3" t="s">
        <v>1666</v>
      </c>
      <c r="C1118" s="6" t="s">
        <v>3256</v>
      </c>
      <c r="D1118" s="6" t="s">
        <v>3257</v>
      </c>
      <c r="E1118" s="7" t="s">
        <v>3258</v>
      </c>
      <c r="F1118" s="5"/>
      <c r="G1118" s="5"/>
    </row>
    <row r="1119" spans="1:7" ht="112.8" thickBot="1">
      <c r="A1119" s="3">
        <v>1117</v>
      </c>
      <c r="B1119" s="3" t="s">
        <v>1666</v>
      </c>
      <c r="C1119" s="6" t="s">
        <v>3259</v>
      </c>
      <c r="D1119" s="6" t="s">
        <v>3260</v>
      </c>
      <c r="E1119" s="7" t="s">
        <v>3261</v>
      </c>
      <c r="F1119" s="5"/>
      <c r="G1119" s="5"/>
    </row>
    <row r="1120" spans="1:7" ht="99" thickBot="1">
      <c r="A1120" s="3">
        <v>1118</v>
      </c>
      <c r="B1120" s="3" t="s">
        <v>1666</v>
      </c>
      <c r="C1120" s="6" t="s">
        <v>3262</v>
      </c>
      <c r="D1120" s="6" t="s">
        <v>3263</v>
      </c>
      <c r="E1120" s="7" t="s">
        <v>3264</v>
      </c>
      <c r="F1120" s="5"/>
      <c r="G1120" s="5"/>
    </row>
    <row r="1121" spans="1:7" ht="99" thickBot="1">
      <c r="A1121" s="3">
        <v>1119</v>
      </c>
      <c r="B1121" s="3" t="s">
        <v>1666</v>
      </c>
      <c r="C1121" s="6" t="s">
        <v>3265</v>
      </c>
      <c r="D1121" s="6" t="s">
        <v>3266</v>
      </c>
      <c r="E1121" s="7" t="s">
        <v>3267</v>
      </c>
      <c r="F1121" s="5"/>
      <c r="G1121" s="5"/>
    </row>
    <row r="1122" spans="1:7" ht="112.8" thickBot="1">
      <c r="A1122" s="3">
        <v>1120</v>
      </c>
      <c r="B1122" s="3" t="s">
        <v>1666</v>
      </c>
      <c r="C1122" s="6" t="s">
        <v>3268</v>
      </c>
      <c r="D1122" s="6" t="s">
        <v>3269</v>
      </c>
      <c r="E1122" s="7" t="s">
        <v>3270</v>
      </c>
      <c r="F1122" s="5"/>
      <c r="G1122" s="5"/>
    </row>
    <row r="1123" spans="1:7" ht="99" thickBot="1">
      <c r="A1123" s="3">
        <v>1121</v>
      </c>
      <c r="B1123" s="3" t="s">
        <v>1666</v>
      </c>
      <c r="C1123" s="6" t="s">
        <v>3271</v>
      </c>
      <c r="D1123" s="6" t="s">
        <v>3272</v>
      </c>
      <c r="E1123" s="7" t="s">
        <v>3273</v>
      </c>
      <c r="F1123" s="5"/>
      <c r="G1123" s="5"/>
    </row>
    <row r="1124" spans="1:7" ht="99" thickBot="1">
      <c r="A1124" s="3">
        <v>1122</v>
      </c>
      <c r="B1124" s="3" t="s">
        <v>1666</v>
      </c>
      <c r="C1124" s="6" t="s">
        <v>3274</v>
      </c>
      <c r="D1124" s="6" t="s">
        <v>3275</v>
      </c>
      <c r="E1124" s="7" t="s">
        <v>466</v>
      </c>
      <c r="F1124" s="5"/>
      <c r="G1124" s="5"/>
    </row>
    <row r="1125" spans="1:7" ht="126.6" thickBot="1">
      <c r="A1125" s="3">
        <v>1123</v>
      </c>
      <c r="B1125" s="3" t="s">
        <v>1666</v>
      </c>
      <c r="C1125" s="6" t="s">
        <v>3276</v>
      </c>
      <c r="D1125" s="6" t="s">
        <v>3277</v>
      </c>
      <c r="E1125" s="7" t="s">
        <v>3278</v>
      </c>
      <c r="F1125" s="5"/>
      <c r="G1125" s="5"/>
    </row>
    <row r="1126" spans="1:7" ht="112.8" thickBot="1">
      <c r="A1126" s="3">
        <v>1124</v>
      </c>
      <c r="B1126" s="3" t="s">
        <v>1666</v>
      </c>
      <c r="C1126" s="6" t="s">
        <v>3279</v>
      </c>
      <c r="D1126" s="6" t="s">
        <v>3280</v>
      </c>
      <c r="E1126" s="7" t="s">
        <v>2583</v>
      </c>
      <c r="F1126" s="5"/>
      <c r="G1126" s="5"/>
    </row>
    <row r="1127" spans="1:7" ht="112.8" thickBot="1">
      <c r="A1127" s="3">
        <v>1125</v>
      </c>
      <c r="B1127" s="3" t="s">
        <v>1666</v>
      </c>
      <c r="C1127" s="6" t="s">
        <v>3281</v>
      </c>
      <c r="D1127" s="6" t="s">
        <v>3282</v>
      </c>
      <c r="E1127" s="7" t="s">
        <v>3283</v>
      </c>
      <c r="F1127" s="5"/>
      <c r="G1127" s="5"/>
    </row>
    <row r="1128" spans="1:7" ht="140.4" thickBot="1">
      <c r="A1128" s="3">
        <v>1126</v>
      </c>
      <c r="B1128" s="3" t="s">
        <v>1666</v>
      </c>
      <c r="C1128" s="6" t="s">
        <v>3284</v>
      </c>
      <c r="D1128" s="6" t="s">
        <v>3285</v>
      </c>
      <c r="E1128" s="7" t="s">
        <v>3286</v>
      </c>
      <c r="F1128" s="5"/>
      <c r="G1128" s="5"/>
    </row>
    <row r="1129" spans="1:7" ht="140.4" thickBot="1">
      <c r="A1129" s="3">
        <v>1127</v>
      </c>
      <c r="B1129" s="3" t="s">
        <v>1666</v>
      </c>
      <c r="C1129" s="6" t="s">
        <v>3287</v>
      </c>
      <c r="D1129" s="6" t="s">
        <v>3288</v>
      </c>
      <c r="E1129" s="7" t="s">
        <v>3289</v>
      </c>
      <c r="F1129" s="5"/>
      <c r="G1129" s="5"/>
    </row>
    <row r="1130" spans="1:7" ht="99" thickBot="1">
      <c r="A1130" s="3">
        <v>1128</v>
      </c>
      <c r="B1130" s="3" t="s">
        <v>1666</v>
      </c>
      <c r="C1130" s="6" t="s">
        <v>3290</v>
      </c>
      <c r="D1130" s="6" t="s">
        <v>3291</v>
      </c>
      <c r="E1130" s="7" t="s">
        <v>3292</v>
      </c>
      <c r="F1130" s="5"/>
      <c r="G1130" s="5"/>
    </row>
    <row r="1131" spans="1:7" ht="112.8" thickBot="1">
      <c r="A1131" s="3">
        <v>1129</v>
      </c>
      <c r="B1131" s="3" t="s">
        <v>1666</v>
      </c>
      <c r="C1131" s="6" t="s">
        <v>3293</v>
      </c>
      <c r="D1131" s="6" t="s">
        <v>3294</v>
      </c>
      <c r="E1131" s="7" t="s">
        <v>3295</v>
      </c>
      <c r="F1131" s="5"/>
      <c r="G1131" s="5"/>
    </row>
    <row r="1132" spans="1:7" ht="112.8" thickBot="1">
      <c r="A1132" s="3">
        <v>1130</v>
      </c>
      <c r="B1132" s="3" t="s">
        <v>1666</v>
      </c>
      <c r="C1132" s="6" t="s">
        <v>3296</v>
      </c>
      <c r="D1132" s="6" t="s">
        <v>3297</v>
      </c>
      <c r="E1132" s="7" t="s">
        <v>2161</v>
      </c>
      <c r="F1132" s="5"/>
      <c r="G1132" s="5"/>
    </row>
    <row r="1133" spans="1:7" ht="99" thickBot="1">
      <c r="A1133" s="3">
        <v>1131</v>
      </c>
      <c r="B1133" s="3" t="s">
        <v>1666</v>
      </c>
      <c r="C1133" s="6" t="s">
        <v>3298</v>
      </c>
      <c r="D1133" s="6" t="s">
        <v>3299</v>
      </c>
      <c r="E1133" s="7" t="s">
        <v>3300</v>
      </c>
      <c r="F1133" s="5"/>
      <c r="G1133" s="5"/>
    </row>
    <row r="1134" spans="1:7" ht="99" thickBot="1">
      <c r="A1134" s="3">
        <v>1132</v>
      </c>
      <c r="B1134" s="3" t="s">
        <v>1666</v>
      </c>
      <c r="C1134" s="6" t="s">
        <v>3301</v>
      </c>
      <c r="D1134" s="6" t="s">
        <v>3302</v>
      </c>
      <c r="E1134" s="7" t="s">
        <v>3303</v>
      </c>
      <c r="F1134" s="5"/>
      <c r="G1134" s="5"/>
    </row>
    <row r="1135" spans="1:7" ht="99" thickBot="1">
      <c r="A1135" s="3">
        <v>1133</v>
      </c>
      <c r="B1135" s="3" t="s">
        <v>1666</v>
      </c>
      <c r="C1135" s="6" t="s">
        <v>3304</v>
      </c>
      <c r="D1135" s="6" t="s">
        <v>3305</v>
      </c>
      <c r="E1135" s="7" t="s">
        <v>3306</v>
      </c>
      <c r="F1135" s="5"/>
      <c r="G1135" s="5"/>
    </row>
    <row r="1136" spans="1:7" ht="112.8" thickBot="1">
      <c r="A1136" s="3">
        <v>1134</v>
      </c>
      <c r="B1136" s="3" t="s">
        <v>1666</v>
      </c>
      <c r="C1136" s="6" t="s">
        <v>3307</v>
      </c>
      <c r="D1136" s="6" t="s">
        <v>3308</v>
      </c>
      <c r="E1136" s="7" t="s">
        <v>3309</v>
      </c>
      <c r="F1136" s="5"/>
      <c r="G1136" s="5"/>
    </row>
    <row r="1137" spans="1:7" ht="112.8" thickBot="1">
      <c r="A1137" s="3">
        <v>1135</v>
      </c>
      <c r="B1137" s="3" t="s">
        <v>1666</v>
      </c>
      <c r="C1137" s="6" t="s">
        <v>3310</v>
      </c>
      <c r="D1137" s="6" t="s">
        <v>3311</v>
      </c>
      <c r="E1137" s="7" t="s">
        <v>3312</v>
      </c>
      <c r="F1137" s="5"/>
      <c r="G1137" s="5"/>
    </row>
    <row r="1138" spans="1:7" ht="112.8" thickBot="1">
      <c r="A1138" s="3">
        <v>1136</v>
      </c>
      <c r="B1138" s="3" t="s">
        <v>1666</v>
      </c>
      <c r="C1138" s="6" t="s">
        <v>3313</v>
      </c>
      <c r="D1138" s="6" t="s">
        <v>3314</v>
      </c>
      <c r="E1138" s="7" t="s">
        <v>3315</v>
      </c>
      <c r="F1138" s="5"/>
      <c r="G1138" s="5"/>
    </row>
    <row r="1139" spans="1:7" ht="112.8" thickBot="1">
      <c r="A1139" s="3">
        <v>1137</v>
      </c>
      <c r="B1139" s="3" t="s">
        <v>1666</v>
      </c>
      <c r="C1139" s="6" t="s">
        <v>3316</v>
      </c>
      <c r="D1139" s="6" t="s">
        <v>3317</v>
      </c>
      <c r="E1139" s="7" t="s">
        <v>2583</v>
      </c>
      <c r="F1139" s="5"/>
      <c r="G1139" s="5"/>
    </row>
    <row r="1140" spans="1:7" ht="112.8" thickBot="1">
      <c r="A1140" s="3">
        <v>1138</v>
      </c>
      <c r="B1140" s="3" t="s">
        <v>1666</v>
      </c>
      <c r="C1140" s="6" t="s">
        <v>3318</v>
      </c>
      <c r="D1140" s="6" t="s">
        <v>3319</v>
      </c>
      <c r="E1140" s="7" t="s">
        <v>3320</v>
      </c>
      <c r="F1140" s="5"/>
      <c r="G1140" s="5"/>
    </row>
    <row r="1141" spans="1:7" ht="99" thickBot="1">
      <c r="A1141" s="3">
        <v>1139</v>
      </c>
      <c r="B1141" s="3" t="s">
        <v>1666</v>
      </c>
      <c r="C1141" s="6" t="s">
        <v>3321</v>
      </c>
      <c r="D1141" s="6" t="s">
        <v>3322</v>
      </c>
      <c r="E1141" s="7" t="s">
        <v>3323</v>
      </c>
      <c r="F1141" s="5"/>
      <c r="G1141" s="5"/>
    </row>
    <row r="1142" spans="1:7" ht="99" thickBot="1">
      <c r="A1142" s="3">
        <v>1140</v>
      </c>
      <c r="B1142" s="3" t="s">
        <v>1666</v>
      </c>
      <c r="C1142" s="6" t="s">
        <v>3324</v>
      </c>
      <c r="D1142" s="6" t="s">
        <v>3325</v>
      </c>
      <c r="E1142" s="7" t="s">
        <v>3326</v>
      </c>
      <c r="F1142" s="5"/>
      <c r="G1142" s="5"/>
    </row>
    <row r="1143" spans="1:7" ht="99" thickBot="1">
      <c r="A1143" s="3">
        <v>1141</v>
      </c>
      <c r="B1143" s="3" t="s">
        <v>1666</v>
      </c>
      <c r="C1143" s="6" t="s">
        <v>3327</v>
      </c>
      <c r="D1143" s="6" t="s">
        <v>3328</v>
      </c>
      <c r="E1143" s="7" t="s">
        <v>3329</v>
      </c>
      <c r="F1143" s="5"/>
      <c r="G1143" s="5"/>
    </row>
    <row r="1144" spans="1:7" ht="126.6" thickBot="1">
      <c r="A1144" s="3">
        <v>1142</v>
      </c>
      <c r="B1144" s="3" t="s">
        <v>1666</v>
      </c>
      <c r="C1144" s="6" t="s">
        <v>3330</v>
      </c>
      <c r="D1144" s="6" t="s">
        <v>3331</v>
      </c>
      <c r="E1144" s="7" t="s">
        <v>3332</v>
      </c>
      <c r="F1144" s="5"/>
      <c r="G1144" s="5"/>
    </row>
    <row r="1145" spans="1:7" ht="99" thickBot="1">
      <c r="A1145" s="3">
        <v>1143</v>
      </c>
      <c r="B1145" s="3" t="s">
        <v>1666</v>
      </c>
      <c r="C1145" s="6" t="s">
        <v>3333</v>
      </c>
      <c r="D1145" s="6" t="s">
        <v>3334</v>
      </c>
      <c r="E1145" s="7" t="s">
        <v>3335</v>
      </c>
      <c r="F1145" s="5"/>
      <c r="G1145" s="5"/>
    </row>
    <row r="1146" spans="1:7" ht="99" thickBot="1">
      <c r="A1146" s="3">
        <v>1144</v>
      </c>
      <c r="B1146" s="3" t="s">
        <v>1666</v>
      </c>
      <c r="C1146" s="6" t="s">
        <v>3336</v>
      </c>
      <c r="D1146" s="6" t="s">
        <v>1688</v>
      </c>
      <c r="E1146" s="7" t="s">
        <v>3337</v>
      </c>
      <c r="F1146" s="5"/>
      <c r="G1146" s="5"/>
    </row>
    <row r="1147" spans="1:7" ht="99" thickBot="1">
      <c r="A1147" s="3">
        <v>1145</v>
      </c>
      <c r="B1147" s="3" t="s">
        <v>1666</v>
      </c>
      <c r="C1147" s="6" t="s">
        <v>3338</v>
      </c>
      <c r="D1147" s="6" t="s">
        <v>2370</v>
      </c>
      <c r="E1147" s="7" t="s">
        <v>3339</v>
      </c>
      <c r="F1147" s="5"/>
      <c r="G1147" s="5"/>
    </row>
    <row r="1148" spans="1:7" ht="99" thickBot="1">
      <c r="A1148" s="3">
        <v>1146</v>
      </c>
      <c r="B1148" s="3" t="s">
        <v>1666</v>
      </c>
      <c r="C1148" s="6" t="s">
        <v>3340</v>
      </c>
      <c r="D1148" s="6" t="s">
        <v>3341</v>
      </c>
      <c r="E1148" s="7" t="s">
        <v>3342</v>
      </c>
      <c r="F1148" s="5"/>
      <c r="G1148" s="5"/>
    </row>
    <row r="1149" spans="1:7" ht="112.8" thickBot="1">
      <c r="A1149" s="3">
        <v>1147</v>
      </c>
      <c r="B1149" s="3" t="s">
        <v>1666</v>
      </c>
      <c r="C1149" s="6" t="s">
        <v>3343</v>
      </c>
      <c r="D1149" s="6" t="s">
        <v>3344</v>
      </c>
      <c r="E1149" s="7" t="s">
        <v>3345</v>
      </c>
      <c r="F1149" s="5"/>
      <c r="G1149" s="5"/>
    </row>
    <row r="1150" spans="1:7" ht="99" thickBot="1">
      <c r="A1150" s="3">
        <v>1148</v>
      </c>
      <c r="B1150" s="3" t="s">
        <v>1666</v>
      </c>
      <c r="C1150" s="6" t="s">
        <v>3346</v>
      </c>
      <c r="D1150" s="6" t="s">
        <v>3347</v>
      </c>
      <c r="E1150" s="7" t="s">
        <v>3348</v>
      </c>
      <c r="F1150" s="5"/>
      <c r="G1150" s="5"/>
    </row>
    <row r="1151" spans="1:7" ht="99" thickBot="1">
      <c r="A1151" s="3">
        <v>1149</v>
      </c>
      <c r="B1151" s="3" t="s">
        <v>1666</v>
      </c>
      <c r="C1151" s="6" t="s">
        <v>3349</v>
      </c>
      <c r="D1151" s="6" t="s">
        <v>3350</v>
      </c>
      <c r="E1151" s="7" t="s">
        <v>3351</v>
      </c>
      <c r="F1151" s="5"/>
      <c r="G1151" s="5"/>
    </row>
    <row r="1152" spans="1:7" ht="112.8" thickBot="1">
      <c r="A1152" s="3">
        <v>1150</v>
      </c>
      <c r="B1152" s="3" t="s">
        <v>1666</v>
      </c>
      <c r="C1152" s="6" t="s">
        <v>3352</v>
      </c>
      <c r="D1152" s="6" t="s">
        <v>3353</v>
      </c>
      <c r="E1152" s="7" t="s">
        <v>3354</v>
      </c>
      <c r="F1152" s="5"/>
      <c r="G1152" s="5"/>
    </row>
    <row r="1153" spans="1:7" ht="99" thickBot="1">
      <c r="A1153" s="3">
        <v>1151</v>
      </c>
      <c r="B1153" s="3" t="s">
        <v>1666</v>
      </c>
      <c r="C1153" s="6" t="s">
        <v>3355</v>
      </c>
      <c r="D1153" s="6" t="s">
        <v>3356</v>
      </c>
      <c r="E1153" s="7" t="s">
        <v>3357</v>
      </c>
      <c r="F1153" s="5"/>
      <c r="G1153" s="5"/>
    </row>
    <row r="1154" spans="1:7" ht="99" thickBot="1">
      <c r="A1154" s="3">
        <v>1152</v>
      </c>
      <c r="B1154" s="3" t="s">
        <v>1666</v>
      </c>
      <c r="C1154" s="6" t="s">
        <v>3358</v>
      </c>
      <c r="D1154" s="6" t="s">
        <v>2370</v>
      </c>
      <c r="E1154" s="7" t="s">
        <v>3359</v>
      </c>
      <c r="F1154" s="5"/>
      <c r="G1154" s="5"/>
    </row>
    <row r="1155" spans="1:7" ht="99" thickBot="1">
      <c r="A1155" s="3">
        <v>1153</v>
      </c>
      <c r="B1155" s="3" t="s">
        <v>1666</v>
      </c>
      <c r="C1155" s="6" t="s">
        <v>3360</v>
      </c>
      <c r="D1155" s="6" t="s">
        <v>3361</v>
      </c>
      <c r="E1155" s="7" t="s">
        <v>3362</v>
      </c>
      <c r="F1155" s="5"/>
      <c r="G1155" s="5"/>
    </row>
    <row r="1156" spans="1:7" ht="99" thickBot="1">
      <c r="A1156" s="3">
        <v>1154</v>
      </c>
      <c r="B1156" s="3" t="s">
        <v>1666</v>
      </c>
      <c r="C1156" s="6" t="s">
        <v>3363</v>
      </c>
      <c r="D1156" s="6" t="s">
        <v>2021</v>
      </c>
      <c r="E1156" s="7" t="s">
        <v>3364</v>
      </c>
      <c r="F1156" s="5"/>
      <c r="G1156" s="5"/>
    </row>
    <row r="1157" spans="1:7" ht="112.8" thickBot="1">
      <c r="A1157" s="3">
        <v>1155</v>
      </c>
      <c r="B1157" s="3" t="s">
        <v>1666</v>
      </c>
      <c r="C1157" s="6" t="s">
        <v>3365</v>
      </c>
      <c r="D1157" s="6" t="s">
        <v>3366</v>
      </c>
      <c r="E1157" s="7" t="s">
        <v>3367</v>
      </c>
      <c r="F1157" s="5"/>
      <c r="G1157" s="5"/>
    </row>
    <row r="1158" spans="1:7" ht="99" thickBot="1">
      <c r="A1158" s="3">
        <v>1156</v>
      </c>
      <c r="B1158" s="3" t="s">
        <v>1666</v>
      </c>
      <c r="C1158" s="6" t="s">
        <v>3368</v>
      </c>
      <c r="D1158" s="6" t="s">
        <v>2520</v>
      </c>
      <c r="E1158" s="7" t="s">
        <v>3369</v>
      </c>
      <c r="F1158" s="5"/>
      <c r="G1158" s="5"/>
    </row>
    <row r="1159" spans="1:7" ht="112.8" thickBot="1">
      <c r="A1159" s="3">
        <v>1157</v>
      </c>
      <c r="B1159" s="3" t="s">
        <v>1666</v>
      </c>
      <c r="C1159" s="6" t="s">
        <v>3370</v>
      </c>
      <c r="D1159" s="6" t="s">
        <v>3371</v>
      </c>
      <c r="E1159" s="7" t="s">
        <v>3372</v>
      </c>
      <c r="F1159" s="5"/>
      <c r="G1159" s="5"/>
    </row>
    <row r="1160" spans="1:7" ht="112.8" thickBot="1">
      <c r="A1160" s="3">
        <v>1158</v>
      </c>
      <c r="B1160" s="3" t="s">
        <v>1666</v>
      </c>
      <c r="C1160" s="6" t="s">
        <v>3373</v>
      </c>
      <c r="D1160" s="6" t="s">
        <v>3374</v>
      </c>
      <c r="E1160" s="7" t="s">
        <v>3375</v>
      </c>
      <c r="F1160" s="5"/>
      <c r="G1160" s="5"/>
    </row>
    <row r="1161" spans="1:7" ht="99" thickBot="1">
      <c r="A1161" s="3">
        <v>1159</v>
      </c>
      <c r="B1161" s="3" t="s">
        <v>1666</v>
      </c>
      <c r="C1161" s="6" t="s">
        <v>3376</v>
      </c>
      <c r="D1161" s="6" t="s">
        <v>3377</v>
      </c>
      <c r="E1161" s="7" t="s">
        <v>3378</v>
      </c>
      <c r="F1161" s="5"/>
      <c r="G1161" s="5"/>
    </row>
    <row r="1162" spans="1:7" ht="112.8" thickBot="1">
      <c r="A1162" s="3">
        <v>1160</v>
      </c>
      <c r="B1162" s="3" t="s">
        <v>1666</v>
      </c>
      <c r="C1162" s="6" t="s">
        <v>3379</v>
      </c>
      <c r="D1162" s="6" t="s">
        <v>3380</v>
      </c>
      <c r="E1162" s="7" t="s">
        <v>3381</v>
      </c>
      <c r="F1162" s="5"/>
      <c r="G1162" s="5"/>
    </row>
    <row r="1163" spans="1:7" ht="99" thickBot="1">
      <c r="A1163" s="3">
        <v>1161</v>
      </c>
      <c r="B1163" s="3" t="s">
        <v>1666</v>
      </c>
      <c r="C1163" s="6" t="s">
        <v>3382</v>
      </c>
      <c r="D1163" s="6" t="s">
        <v>3383</v>
      </c>
      <c r="E1163" s="7" t="s">
        <v>3384</v>
      </c>
      <c r="F1163" s="5"/>
      <c r="G1163" s="5"/>
    </row>
    <row r="1164" spans="1:7" ht="99" thickBot="1">
      <c r="A1164" s="3">
        <v>1162</v>
      </c>
      <c r="B1164" s="3" t="s">
        <v>1666</v>
      </c>
      <c r="C1164" s="6" t="s">
        <v>3385</v>
      </c>
      <c r="D1164" s="6" t="s">
        <v>3386</v>
      </c>
      <c r="E1164" s="7" t="s">
        <v>3387</v>
      </c>
      <c r="F1164" s="5"/>
      <c r="G1164" s="5"/>
    </row>
    <row r="1165" spans="1:7" ht="99" thickBot="1">
      <c r="A1165" s="3">
        <v>1163</v>
      </c>
      <c r="B1165" s="3" t="s">
        <v>1666</v>
      </c>
      <c r="C1165" s="6" t="s">
        <v>3388</v>
      </c>
      <c r="D1165" s="6" t="s">
        <v>3389</v>
      </c>
      <c r="E1165" s="7" t="s">
        <v>3390</v>
      </c>
      <c r="F1165" s="5"/>
      <c r="G1165" s="5"/>
    </row>
    <row r="1166" spans="1:7" ht="99" thickBot="1">
      <c r="A1166" s="3">
        <v>1164</v>
      </c>
      <c r="B1166" s="3" t="s">
        <v>1666</v>
      </c>
      <c r="C1166" s="6" t="s">
        <v>3391</v>
      </c>
      <c r="D1166" s="6" t="s">
        <v>3392</v>
      </c>
      <c r="E1166" s="7" t="s">
        <v>3393</v>
      </c>
      <c r="F1166" s="5"/>
      <c r="G1166" s="5"/>
    </row>
    <row r="1167" spans="1:7" ht="99" thickBot="1">
      <c r="A1167" s="3">
        <v>1165</v>
      </c>
      <c r="B1167" s="3" t="s">
        <v>1666</v>
      </c>
      <c r="C1167" s="6" t="s">
        <v>3394</v>
      </c>
      <c r="D1167" s="6" t="s">
        <v>3395</v>
      </c>
      <c r="E1167" s="7" t="s">
        <v>3396</v>
      </c>
      <c r="F1167" s="5"/>
      <c r="G1167" s="5"/>
    </row>
    <row r="1168" spans="1:7" ht="99" thickBot="1">
      <c r="A1168" s="3">
        <v>1166</v>
      </c>
      <c r="B1168" s="3" t="s">
        <v>1666</v>
      </c>
      <c r="C1168" s="6" t="s">
        <v>3397</v>
      </c>
      <c r="D1168" s="6" t="s">
        <v>3398</v>
      </c>
      <c r="E1168" s="7" t="s">
        <v>2511</v>
      </c>
      <c r="F1168" s="5"/>
      <c r="G1168" s="5"/>
    </row>
    <row r="1169" spans="1:7" ht="112.8" thickBot="1">
      <c r="A1169" s="3">
        <v>1167</v>
      </c>
      <c r="B1169" s="3" t="s">
        <v>1666</v>
      </c>
      <c r="C1169" s="6" t="s">
        <v>3399</v>
      </c>
      <c r="D1169" s="6" t="s">
        <v>3400</v>
      </c>
      <c r="E1169" s="7" t="s">
        <v>3401</v>
      </c>
      <c r="F1169" s="5"/>
      <c r="G1169" s="5"/>
    </row>
    <row r="1170" spans="1:7" ht="99" thickBot="1">
      <c r="A1170" s="3">
        <v>1168</v>
      </c>
      <c r="B1170" s="3" t="s">
        <v>1666</v>
      </c>
      <c r="C1170" s="6" t="s">
        <v>3402</v>
      </c>
      <c r="D1170" s="6" t="s">
        <v>2021</v>
      </c>
      <c r="E1170" s="7" t="s">
        <v>3403</v>
      </c>
      <c r="F1170" s="5"/>
      <c r="G1170" s="5"/>
    </row>
    <row r="1171" spans="1:7" ht="99" thickBot="1">
      <c r="A1171" s="3">
        <v>1169</v>
      </c>
      <c r="B1171" s="3" t="s">
        <v>1666</v>
      </c>
      <c r="C1171" s="6" t="s">
        <v>3404</v>
      </c>
      <c r="D1171" s="6" t="s">
        <v>3405</v>
      </c>
      <c r="E1171" s="7" t="s">
        <v>3406</v>
      </c>
      <c r="F1171" s="5"/>
      <c r="G1171" s="5"/>
    </row>
    <row r="1172" spans="1:7" ht="99" thickBot="1">
      <c r="A1172" s="3">
        <v>1170</v>
      </c>
      <c r="B1172" s="3" t="s">
        <v>1666</v>
      </c>
      <c r="C1172" s="6" t="s">
        <v>3407</v>
      </c>
      <c r="D1172" s="6" t="s">
        <v>3408</v>
      </c>
      <c r="E1172" s="7" t="s">
        <v>3409</v>
      </c>
      <c r="F1172" s="5"/>
      <c r="G1172" s="5"/>
    </row>
    <row r="1173" spans="1:7" ht="99" thickBot="1">
      <c r="A1173" s="3">
        <v>1171</v>
      </c>
      <c r="B1173" s="3" t="s">
        <v>1666</v>
      </c>
      <c r="C1173" s="6" t="s">
        <v>3410</v>
      </c>
      <c r="D1173" s="6" t="s">
        <v>3411</v>
      </c>
      <c r="E1173" s="7" t="s">
        <v>3412</v>
      </c>
      <c r="F1173" s="5"/>
      <c r="G1173" s="5"/>
    </row>
    <row r="1174" spans="1:7" ht="126.6" thickBot="1">
      <c r="A1174" s="3">
        <v>1172</v>
      </c>
      <c r="B1174" s="3" t="s">
        <v>3413</v>
      </c>
      <c r="C1174" s="6" t="s">
        <v>3414</v>
      </c>
      <c r="D1174" s="6" t="s">
        <v>3415</v>
      </c>
      <c r="E1174" s="7" t="s">
        <v>3416</v>
      </c>
      <c r="F1174" s="5"/>
      <c r="G1174" s="5"/>
    </row>
    <row r="1175" spans="1:7" ht="140.4" thickBot="1">
      <c r="A1175" s="3">
        <v>1173</v>
      </c>
      <c r="B1175" s="3" t="s">
        <v>3413</v>
      </c>
      <c r="C1175" s="6" t="s">
        <v>60</v>
      </c>
      <c r="D1175" s="6" t="s">
        <v>3417</v>
      </c>
      <c r="E1175" s="7" t="s">
        <v>3418</v>
      </c>
      <c r="F1175" s="5"/>
      <c r="G1175" s="5"/>
    </row>
    <row r="1176" spans="1:7" ht="112.8" thickBot="1">
      <c r="A1176" s="3">
        <v>1174</v>
      </c>
      <c r="B1176" s="3" t="s">
        <v>3413</v>
      </c>
      <c r="C1176" s="6" t="s">
        <v>439</v>
      </c>
      <c r="D1176" s="6" t="s">
        <v>3419</v>
      </c>
      <c r="E1176" s="7" t="s">
        <v>3420</v>
      </c>
      <c r="F1176" s="5"/>
      <c r="G1176" s="5"/>
    </row>
    <row r="1177" spans="1:7" ht="112.8" thickBot="1">
      <c r="A1177" s="3">
        <v>1175</v>
      </c>
      <c r="B1177" s="3" t="s">
        <v>3413</v>
      </c>
      <c r="C1177" s="6" t="s">
        <v>647</v>
      </c>
      <c r="D1177" s="6" t="s">
        <v>3421</v>
      </c>
      <c r="E1177" s="7" t="s">
        <v>3422</v>
      </c>
      <c r="F1177" s="5"/>
      <c r="G1177" s="5"/>
    </row>
    <row r="1178" spans="1:7" ht="126.6" thickBot="1">
      <c r="A1178" s="3">
        <v>1176</v>
      </c>
      <c r="B1178" s="3" t="s">
        <v>3413</v>
      </c>
      <c r="C1178" s="6" t="s">
        <v>351</v>
      </c>
      <c r="D1178" s="6" t="s">
        <v>3423</v>
      </c>
      <c r="E1178" s="7" t="s">
        <v>3424</v>
      </c>
      <c r="F1178" s="5"/>
      <c r="G1178" s="5"/>
    </row>
    <row r="1179" spans="1:7" ht="126.6" thickBot="1">
      <c r="A1179" s="3">
        <v>1177</v>
      </c>
      <c r="B1179" s="3" t="s">
        <v>3413</v>
      </c>
      <c r="C1179" s="6" t="s">
        <v>3425</v>
      </c>
      <c r="D1179" s="6" t="s">
        <v>3426</v>
      </c>
      <c r="E1179" s="7" t="s">
        <v>3427</v>
      </c>
      <c r="F1179" s="5"/>
      <c r="G1179" s="5"/>
    </row>
    <row r="1180" spans="1:7" ht="112.8" thickBot="1">
      <c r="A1180" s="3">
        <v>1178</v>
      </c>
      <c r="B1180" s="3" t="s">
        <v>3413</v>
      </c>
      <c r="C1180" s="6" t="s">
        <v>3428</v>
      </c>
      <c r="D1180" s="6" t="s">
        <v>3429</v>
      </c>
      <c r="E1180" s="7" t="s">
        <v>3430</v>
      </c>
      <c r="F1180" s="5"/>
      <c r="G1180" s="5"/>
    </row>
    <row r="1181" spans="1:7" ht="154.19999999999999" thickBot="1">
      <c r="A1181" s="3">
        <v>1179</v>
      </c>
      <c r="B1181" s="3" t="s">
        <v>3413</v>
      </c>
      <c r="C1181" s="6" t="s">
        <v>63</v>
      </c>
      <c r="D1181" s="6" t="s">
        <v>3431</v>
      </c>
      <c r="E1181" s="7" t="s">
        <v>3432</v>
      </c>
      <c r="F1181" s="5"/>
      <c r="G1181" s="5"/>
    </row>
    <row r="1182" spans="1:7" ht="112.8" thickBot="1">
      <c r="A1182" s="3">
        <v>1180</v>
      </c>
      <c r="B1182" s="3" t="s">
        <v>3413</v>
      </c>
      <c r="C1182" s="6" t="s">
        <v>3433</v>
      </c>
      <c r="D1182" s="6" t="s">
        <v>3434</v>
      </c>
      <c r="E1182" s="7" t="s">
        <v>3435</v>
      </c>
      <c r="F1182" s="5"/>
      <c r="G1182" s="5"/>
    </row>
    <row r="1183" spans="1:7" ht="126.6" thickBot="1">
      <c r="A1183" s="3">
        <v>1181</v>
      </c>
      <c r="B1183" s="3" t="s">
        <v>3413</v>
      </c>
      <c r="C1183" s="6" t="s">
        <v>3436</v>
      </c>
      <c r="D1183" s="6" t="s">
        <v>3437</v>
      </c>
      <c r="E1183" s="7" t="s">
        <v>3438</v>
      </c>
      <c r="F1183" s="5"/>
      <c r="G1183" s="5"/>
    </row>
    <row r="1184" spans="1:7" ht="112.8" thickBot="1">
      <c r="A1184" s="3">
        <v>1182</v>
      </c>
      <c r="B1184" s="3" t="s">
        <v>3413</v>
      </c>
      <c r="C1184" s="6" t="s">
        <v>3439</v>
      </c>
      <c r="D1184" s="6" t="s">
        <v>3440</v>
      </c>
      <c r="E1184" s="7" t="s">
        <v>3441</v>
      </c>
      <c r="F1184" s="5"/>
      <c r="G1184" s="5"/>
    </row>
    <row r="1185" spans="1:7" ht="112.8" thickBot="1">
      <c r="A1185" s="3">
        <v>1183</v>
      </c>
      <c r="B1185" s="3" t="s">
        <v>3413</v>
      </c>
      <c r="C1185" s="6" t="s">
        <v>154</v>
      </c>
      <c r="D1185" s="6" t="s">
        <v>3442</v>
      </c>
      <c r="E1185" s="7" t="s">
        <v>3443</v>
      </c>
      <c r="F1185" s="5"/>
      <c r="G1185" s="5"/>
    </row>
    <row r="1186" spans="1:7" ht="140.4" thickBot="1">
      <c r="A1186" s="3">
        <v>1184</v>
      </c>
      <c r="B1186" s="3" t="s">
        <v>3413</v>
      </c>
      <c r="C1186" s="6" t="s">
        <v>353</v>
      </c>
      <c r="D1186" s="6" t="s">
        <v>3444</v>
      </c>
      <c r="E1186" s="7" t="s">
        <v>3445</v>
      </c>
      <c r="F1186" s="5"/>
      <c r="G1186" s="5"/>
    </row>
    <row r="1187" spans="1:7" ht="112.8" thickBot="1">
      <c r="A1187" s="3">
        <v>1185</v>
      </c>
      <c r="B1187" s="3" t="s">
        <v>3413</v>
      </c>
      <c r="C1187" s="6" t="s">
        <v>431</v>
      </c>
      <c r="D1187" s="6" t="s">
        <v>3446</v>
      </c>
      <c r="E1187" s="7" t="s">
        <v>3447</v>
      </c>
      <c r="F1187" s="5"/>
      <c r="G1187" s="5"/>
    </row>
    <row r="1188" spans="1:7" ht="112.8" thickBot="1">
      <c r="A1188" s="3">
        <v>1186</v>
      </c>
      <c r="B1188" s="3" t="s">
        <v>3413</v>
      </c>
      <c r="C1188" s="6" t="s">
        <v>3448</v>
      </c>
      <c r="D1188" s="6" t="s">
        <v>3449</v>
      </c>
      <c r="E1188" s="7" t="s">
        <v>3450</v>
      </c>
      <c r="F1188" s="5"/>
      <c r="G1188" s="5"/>
    </row>
    <row r="1189" spans="1:7" ht="112.8" thickBot="1">
      <c r="A1189" s="3">
        <v>1187</v>
      </c>
      <c r="B1189" s="3" t="s">
        <v>3413</v>
      </c>
      <c r="C1189" s="6" t="s">
        <v>3451</v>
      </c>
      <c r="D1189" s="6" t="s">
        <v>3452</v>
      </c>
      <c r="E1189" s="7" t="s">
        <v>3453</v>
      </c>
      <c r="F1189" s="5"/>
      <c r="G1189" s="5"/>
    </row>
    <row r="1190" spans="1:7" ht="112.8" thickBot="1">
      <c r="A1190" s="3">
        <v>1188</v>
      </c>
      <c r="B1190" s="3" t="s">
        <v>3413</v>
      </c>
      <c r="C1190" s="6" t="s">
        <v>213</v>
      </c>
      <c r="D1190" s="6" t="s">
        <v>3454</v>
      </c>
      <c r="E1190" s="7" t="s">
        <v>3455</v>
      </c>
      <c r="F1190" s="5"/>
      <c r="G1190" s="5"/>
    </row>
    <row r="1191" spans="1:7" ht="112.8" thickBot="1">
      <c r="A1191" s="3">
        <v>1189</v>
      </c>
      <c r="B1191" s="3" t="s">
        <v>3413</v>
      </c>
      <c r="C1191" s="6" t="s">
        <v>3456</v>
      </c>
      <c r="D1191" s="6" t="s">
        <v>3429</v>
      </c>
      <c r="E1191" s="7" t="s">
        <v>3457</v>
      </c>
      <c r="F1191" s="5"/>
      <c r="G1191" s="5"/>
    </row>
    <row r="1192" spans="1:7" ht="126.6" thickBot="1">
      <c r="A1192" s="3">
        <v>1190</v>
      </c>
      <c r="B1192" s="3" t="s">
        <v>3413</v>
      </c>
      <c r="C1192" s="6" t="s">
        <v>483</v>
      </c>
      <c r="D1192" s="6" t="s">
        <v>3458</v>
      </c>
      <c r="E1192" s="7" t="s">
        <v>3459</v>
      </c>
      <c r="F1192" s="5"/>
      <c r="G1192" s="5"/>
    </row>
    <row r="1193" spans="1:7" ht="112.8" thickBot="1">
      <c r="A1193" s="3">
        <v>1191</v>
      </c>
      <c r="B1193" s="3" t="s">
        <v>3413</v>
      </c>
      <c r="C1193" s="6" t="s">
        <v>299</v>
      </c>
      <c r="D1193" s="6" t="s">
        <v>3460</v>
      </c>
      <c r="E1193" s="7" t="s">
        <v>3461</v>
      </c>
      <c r="F1193" s="5"/>
      <c r="G1193" s="5"/>
    </row>
    <row r="1194" spans="1:7" ht="112.8" thickBot="1">
      <c r="A1194" s="3">
        <v>1192</v>
      </c>
      <c r="B1194" s="3" t="s">
        <v>3413</v>
      </c>
      <c r="C1194" s="6" t="s">
        <v>175</v>
      </c>
      <c r="D1194" s="6" t="s">
        <v>3462</v>
      </c>
      <c r="E1194" s="7" t="s">
        <v>3463</v>
      </c>
      <c r="F1194" s="5"/>
      <c r="G1194" s="5"/>
    </row>
    <row r="1195" spans="1:7" ht="126.6" thickBot="1">
      <c r="A1195" s="3">
        <v>1193</v>
      </c>
      <c r="B1195" s="3" t="s">
        <v>3413</v>
      </c>
      <c r="C1195" s="6" t="s">
        <v>559</v>
      </c>
      <c r="D1195" s="6" t="s">
        <v>3464</v>
      </c>
      <c r="E1195" s="7" t="s">
        <v>3465</v>
      </c>
      <c r="F1195" s="5"/>
      <c r="G1195" s="5"/>
    </row>
    <row r="1196" spans="1:7" ht="112.8" thickBot="1">
      <c r="A1196" s="3">
        <v>1194</v>
      </c>
      <c r="B1196" s="3" t="s">
        <v>3413</v>
      </c>
      <c r="C1196" s="6" t="s">
        <v>3466</v>
      </c>
      <c r="D1196" s="6" t="s">
        <v>3467</v>
      </c>
      <c r="E1196" s="7" t="s">
        <v>3468</v>
      </c>
      <c r="F1196" s="5"/>
      <c r="G1196" s="5"/>
    </row>
    <row r="1197" spans="1:7" ht="140.4" thickBot="1">
      <c r="A1197" s="3">
        <v>1195</v>
      </c>
      <c r="B1197" s="3" t="s">
        <v>3413</v>
      </c>
      <c r="C1197" s="6" t="s">
        <v>3469</v>
      </c>
      <c r="D1197" s="6" t="s">
        <v>3470</v>
      </c>
      <c r="E1197" s="7" t="s">
        <v>3471</v>
      </c>
      <c r="F1197" s="5"/>
      <c r="G1197" s="5"/>
    </row>
    <row r="1198" spans="1:7" ht="112.8" thickBot="1">
      <c r="A1198" s="3">
        <v>1196</v>
      </c>
      <c r="B1198" s="3" t="s">
        <v>3413</v>
      </c>
      <c r="C1198" s="6" t="s">
        <v>3472</v>
      </c>
      <c r="D1198" s="6" t="s">
        <v>3473</v>
      </c>
      <c r="E1198" s="7" t="s">
        <v>3474</v>
      </c>
      <c r="F1198" s="5"/>
      <c r="G1198" s="5"/>
    </row>
    <row r="1199" spans="1:7" ht="112.8" thickBot="1">
      <c r="A1199" s="3">
        <v>1197</v>
      </c>
      <c r="B1199" s="3" t="s">
        <v>3413</v>
      </c>
      <c r="C1199" s="6" t="s">
        <v>157</v>
      </c>
      <c r="D1199" s="6" t="s">
        <v>3475</v>
      </c>
      <c r="E1199" s="7" t="s">
        <v>3476</v>
      </c>
      <c r="F1199" s="5"/>
      <c r="G1199" s="5"/>
    </row>
    <row r="1200" spans="1:7" ht="112.8" thickBot="1">
      <c r="A1200" s="3">
        <v>1198</v>
      </c>
      <c r="B1200" s="3" t="s">
        <v>3413</v>
      </c>
      <c r="C1200" s="6" t="s">
        <v>3477</v>
      </c>
      <c r="D1200" s="6" t="s">
        <v>3429</v>
      </c>
      <c r="E1200" s="7" t="s">
        <v>3478</v>
      </c>
      <c r="F1200" s="5"/>
      <c r="G1200" s="5"/>
    </row>
    <row r="1201" spans="1:7" ht="126.6" thickBot="1">
      <c r="A1201" s="3">
        <v>1199</v>
      </c>
      <c r="B1201" s="3" t="s">
        <v>3413</v>
      </c>
      <c r="C1201" s="6" t="s">
        <v>3479</v>
      </c>
      <c r="D1201" s="6" t="s">
        <v>3480</v>
      </c>
      <c r="E1201" s="7" t="s">
        <v>3481</v>
      </c>
      <c r="F1201" s="5"/>
      <c r="G1201" s="5"/>
    </row>
    <row r="1202" spans="1:7" ht="126.6" thickBot="1">
      <c r="A1202" s="3">
        <v>1200</v>
      </c>
      <c r="B1202" s="3" t="s">
        <v>3413</v>
      </c>
      <c r="C1202" s="6" t="s">
        <v>366</v>
      </c>
      <c r="D1202" s="6" t="s">
        <v>3482</v>
      </c>
      <c r="E1202" s="7" t="s">
        <v>3483</v>
      </c>
      <c r="F1202" s="5"/>
      <c r="G1202" s="5"/>
    </row>
    <row r="1203" spans="1:7" ht="126.6" thickBot="1">
      <c r="A1203" s="3">
        <v>1201</v>
      </c>
      <c r="B1203" s="3" t="s">
        <v>3413</v>
      </c>
      <c r="C1203" s="6" t="s">
        <v>3484</v>
      </c>
      <c r="D1203" s="6" t="s">
        <v>3485</v>
      </c>
      <c r="E1203" s="7" t="s">
        <v>3486</v>
      </c>
      <c r="F1203" s="5"/>
      <c r="G1203" s="5"/>
    </row>
    <row r="1204" spans="1:7" ht="126.6" thickBot="1">
      <c r="A1204" s="3">
        <v>1202</v>
      </c>
      <c r="B1204" s="3" t="s">
        <v>3413</v>
      </c>
      <c r="C1204" s="6" t="s">
        <v>3487</v>
      </c>
      <c r="D1204" s="6" t="s">
        <v>3488</v>
      </c>
      <c r="E1204" s="7" t="s">
        <v>3489</v>
      </c>
      <c r="F1204" s="5"/>
      <c r="G1204" s="5"/>
    </row>
    <row r="1205" spans="1:7" ht="126.6" thickBot="1">
      <c r="A1205" s="3">
        <v>1203</v>
      </c>
      <c r="B1205" s="3" t="s">
        <v>3413</v>
      </c>
      <c r="C1205" s="6" t="s">
        <v>3490</v>
      </c>
      <c r="D1205" s="6" t="s">
        <v>3491</v>
      </c>
      <c r="E1205" s="7" t="s">
        <v>3492</v>
      </c>
      <c r="F1205" s="5"/>
      <c r="G1205" s="5"/>
    </row>
    <row r="1206" spans="1:7" ht="112.8" thickBot="1">
      <c r="A1206" s="3">
        <v>1204</v>
      </c>
      <c r="B1206" s="3" t="s">
        <v>3413</v>
      </c>
      <c r="C1206" s="6" t="s">
        <v>3493</v>
      </c>
      <c r="D1206" s="6" t="s">
        <v>3494</v>
      </c>
      <c r="E1206" s="7" t="s">
        <v>3495</v>
      </c>
      <c r="F1206" s="5"/>
      <c r="G1206" s="5"/>
    </row>
    <row r="1207" spans="1:7" ht="126.6" thickBot="1">
      <c r="A1207" s="3">
        <v>1205</v>
      </c>
      <c r="B1207" s="3" t="s">
        <v>3413</v>
      </c>
      <c r="C1207" s="6" t="s">
        <v>607</v>
      </c>
      <c r="D1207" s="6" t="s">
        <v>3496</v>
      </c>
      <c r="E1207" s="7" t="s">
        <v>3497</v>
      </c>
      <c r="F1207" s="5"/>
      <c r="G1207" s="5"/>
    </row>
    <row r="1208" spans="1:7" ht="112.8" thickBot="1">
      <c r="A1208" s="3">
        <v>1206</v>
      </c>
      <c r="B1208" s="3" t="s">
        <v>3413</v>
      </c>
      <c r="C1208" s="6" t="s">
        <v>474</v>
      </c>
      <c r="D1208" s="6" t="s">
        <v>3498</v>
      </c>
      <c r="E1208" s="7" t="s">
        <v>3499</v>
      </c>
      <c r="F1208" s="5"/>
      <c r="G1208" s="5"/>
    </row>
    <row r="1209" spans="1:7" ht="126.6" thickBot="1">
      <c r="A1209" s="3">
        <v>1207</v>
      </c>
      <c r="B1209" s="3" t="s">
        <v>3413</v>
      </c>
      <c r="C1209" s="6" t="s">
        <v>268</v>
      </c>
      <c r="D1209" s="6" t="s">
        <v>3500</v>
      </c>
      <c r="E1209" s="7" t="s">
        <v>3501</v>
      </c>
      <c r="F1209" s="5"/>
      <c r="G1209" s="5"/>
    </row>
    <row r="1210" spans="1:7" ht="112.8" thickBot="1">
      <c r="A1210" s="3">
        <v>1208</v>
      </c>
      <c r="B1210" s="3" t="s">
        <v>3413</v>
      </c>
      <c r="C1210" s="6" t="s">
        <v>178</v>
      </c>
      <c r="D1210" s="6" t="s">
        <v>3502</v>
      </c>
      <c r="E1210" s="7" t="s">
        <v>3503</v>
      </c>
      <c r="F1210" s="5"/>
      <c r="G1210" s="5"/>
    </row>
    <row r="1211" spans="1:7" ht="140.4" thickBot="1">
      <c r="A1211" s="3">
        <v>1209</v>
      </c>
      <c r="B1211" s="3" t="s">
        <v>3413</v>
      </c>
      <c r="C1211" s="6" t="s">
        <v>540</v>
      </c>
      <c r="D1211" s="6" t="s">
        <v>3504</v>
      </c>
      <c r="E1211" s="7" t="s">
        <v>3505</v>
      </c>
      <c r="F1211" s="5"/>
      <c r="G1211" s="5"/>
    </row>
    <row r="1212" spans="1:7" ht="140.4" thickBot="1">
      <c r="A1212" s="3">
        <v>1210</v>
      </c>
      <c r="B1212" s="3" t="s">
        <v>3413</v>
      </c>
      <c r="C1212" s="6" t="s">
        <v>523</v>
      </c>
      <c r="D1212" s="6" t="s">
        <v>3506</v>
      </c>
      <c r="E1212" s="7" t="s">
        <v>3507</v>
      </c>
      <c r="F1212" s="5"/>
      <c r="G1212" s="5"/>
    </row>
    <row r="1213" spans="1:7" ht="112.8" thickBot="1">
      <c r="A1213" s="3">
        <v>1211</v>
      </c>
      <c r="B1213" s="3" t="s">
        <v>3413</v>
      </c>
      <c r="C1213" s="6" t="s">
        <v>3508</v>
      </c>
      <c r="D1213" s="6" t="s">
        <v>3429</v>
      </c>
      <c r="E1213" s="7" t="s">
        <v>3509</v>
      </c>
      <c r="F1213" s="5"/>
      <c r="G1213" s="5"/>
    </row>
    <row r="1214" spans="1:7" ht="112.8" thickBot="1">
      <c r="A1214" s="3">
        <v>1212</v>
      </c>
      <c r="B1214" s="3" t="s">
        <v>3413</v>
      </c>
      <c r="C1214" s="6" t="s">
        <v>3510</v>
      </c>
      <c r="D1214" s="6" t="s">
        <v>3511</v>
      </c>
      <c r="E1214" s="7" t="s">
        <v>3512</v>
      </c>
      <c r="F1214" s="5"/>
      <c r="G1214" s="5"/>
    </row>
    <row r="1215" spans="1:7" ht="112.8" thickBot="1">
      <c r="A1215" s="3">
        <v>1213</v>
      </c>
      <c r="B1215" s="3" t="s">
        <v>3413</v>
      </c>
      <c r="C1215" s="6" t="s">
        <v>465</v>
      </c>
      <c r="D1215" s="6" t="s">
        <v>3513</v>
      </c>
      <c r="E1215" s="7" t="s">
        <v>3514</v>
      </c>
      <c r="F1215" s="5"/>
      <c r="G1215" s="5"/>
    </row>
    <row r="1216" spans="1:7" ht="112.8" thickBot="1">
      <c r="A1216" s="3">
        <v>1214</v>
      </c>
      <c r="B1216" s="3" t="s">
        <v>3413</v>
      </c>
      <c r="C1216" s="6" t="s">
        <v>3515</v>
      </c>
      <c r="D1216" s="6" t="s">
        <v>3516</v>
      </c>
      <c r="E1216" s="7" t="s">
        <v>3517</v>
      </c>
      <c r="F1216" s="5"/>
      <c r="G1216" s="5"/>
    </row>
    <row r="1217" spans="1:7" ht="112.8" thickBot="1">
      <c r="A1217" s="3">
        <v>1215</v>
      </c>
      <c r="B1217" s="3" t="s">
        <v>3413</v>
      </c>
      <c r="C1217" s="6" t="s">
        <v>222</v>
      </c>
      <c r="D1217" s="6" t="s">
        <v>3502</v>
      </c>
      <c r="E1217" s="7" t="s">
        <v>3518</v>
      </c>
      <c r="F1217" s="5"/>
      <c r="G1217" s="5"/>
    </row>
    <row r="1218" spans="1:7" ht="126.6" thickBot="1">
      <c r="A1218" s="3">
        <v>1216</v>
      </c>
      <c r="B1218" s="3" t="s">
        <v>3413</v>
      </c>
      <c r="C1218" s="6" t="s">
        <v>3519</v>
      </c>
      <c r="D1218" s="6" t="s">
        <v>3520</v>
      </c>
      <c r="E1218" s="7" t="s">
        <v>3521</v>
      </c>
      <c r="F1218" s="5"/>
      <c r="G1218" s="5"/>
    </row>
    <row r="1219" spans="1:7" ht="140.4" thickBot="1">
      <c r="A1219" s="3">
        <v>1217</v>
      </c>
      <c r="B1219" s="3" t="s">
        <v>3413</v>
      </c>
      <c r="C1219" s="6" t="s">
        <v>3522</v>
      </c>
      <c r="D1219" s="6" t="s">
        <v>3523</v>
      </c>
      <c r="E1219" s="7" t="s">
        <v>3524</v>
      </c>
      <c r="F1219" s="5"/>
      <c r="G1219" s="5"/>
    </row>
    <row r="1220" spans="1:7" ht="112.8" thickBot="1">
      <c r="A1220" s="3">
        <v>1218</v>
      </c>
      <c r="B1220" s="3" t="s">
        <v>3413</v>
      </c>
      <c r="C1220" s="6" t="s">
        <v>3525</v>
      </c>
      <c r="D1220" s="6" t="s">
        <v>3526</v>
      </c>
      <c r="E1220" s="7" t="s">
        <v>3527</v>
      </c>
      <c r="F1220" s="5"/>
      <c r="G1220" s="5"/>
    </row>
    <row r="1221" spans="1:7" ht="112.8" thickBot="1">
      <c r="A1221" s="3">
        <v>1219</v>
      </c>
      <c r="B1221" s="3" t="s">
        <v>3413</v>
      </c>
      <c r="C1221" s="6" t="s">
        <v>3528</v>
      </c>
      <c r="D1221" s="6" t="s">
        <v>3529</v>
      </c>
      <c r="E1221" s="7" t="s">
        <v>3530</v>
      </c>
      <c r="F1221" s="5"/>
      <c r="G1221" s="5"/>
    </row>
    <row r="1222" spans="1:7" ht="112.8" thickBot="1">
      <c r="A1222" s="3">
        <v>1220</v>
      </c>
      <c r="B1222" s="3" t="s">
        <v>3413</v>
      </c>
      <c r="C1222" s="6" t="s">
        <v>3531</v>
      </c>
      <c r="D1222" s="6" t="s">
        <v>3532</v>
      </c>
      <c r="E1222" s="7" t="s">
        <v>3533</v>
      </c>
      <c r="F1222" s="5"/>
      <c r="G1222" s="5"/>
    </row>
    <row r="1223" spans="1:7" ht="112.8" thickBot="1">
      <c r="A1223" s="3">
        <v>1221</v>
      </c>
      <c r="B1223" s="3" t="s">
        <v>3413</v>
      </c>
      <c r="C1223" s="6" t="s">
        <v>3534</v>
      </c>
      <c r="D1223" s="6" t="s">
        <v>3535</v>
      </c>
      <c r="E1223" s="7" t="s">
        <v>3536</v>
      </c>
      <c r="F1223" s="5"/>
      <c r="G1223" s="5"/>
    </row>
    <row r="1224" spans="1:7" ht="112.8" thickBot="1">
      <c r="A1224" s="3">
        <v>1222</v>
      </c>
      <c r="B1224" s="3" t="s">
        <v>3413</v>
      </c>
      <c r="C1224" s="6" t="s">
        <v>3537</v>
      </c>
      <c r="D1224" s="6" t="s">
        <v>3429</v>
      </c>
      <c r="E1224" s="7" t="s">
        <v>3538</v>
      </c>
      <c r="F1224" s="5"/>
      <c r="G1224" s="5"/>
    </row>
    <row r="1225" spans="1:7" ht="126.6" thickBot="1">
      <c r="A1225" s="3">
        <v>1223</v>
      </c>
      <c r="B1225" s="3" t="s">
        <v>3413</v>
      </c>
      <c r="C1225" s="6" t="s">
        <v>169</v>
      </c>
      <c r="D1225" s="6" t="s">
        <v>3539</v>
      </c>
      <c r="E1225" s="7" t="s">
        <v>3540</v>
      </c>
      <c r="F1225" s="5"/>
      <c r="G1225" s="5"/>
    </row>
    <row r="1226" spans="1:7" ht="112.8" thickBot="1">
      <c r="A1226" s="3">
        <v>1224</v>
      </c>
      <c r="B1226" s="3" t="s">
        <v>3413</v>
      </c>
      <c r="C1226" s="6" t="s">
        <v>3541</v>
      </c>
      <c r="D1226" s="6" t="s">
        <v>3542</v>
      </c>
      <c r="E1226" s="7" t="s">
        <v>3543</v>
      </c>
      <c r="F1226" s="5"/>
      <c r="G1226" s="5"/>
    </row>
    <row r="1227" spans="1:7" ht="112.8" thickBot="1">
      <c r="A1227" s="3">
        <v>1225</v>
      </c>
      <c r="B1227" s="3" t="s">
        <v>3413</v>
      </c>
      <c r="C1227" s="6" t="s">
        <v>497</v>
      </c>
      <c r="D1227" s="6" t="s">
        <v>3544</v>
      </c>
      <c r="E1227" s="7" t="s">
        <v>3545</v>
      </c>
      <c r="F1227" s="5"/>
      <c r="G1227" s="5"/>
    </row>
    <row r="1228" spans="1:7" ht="126.6" thickBot="1">
      <c r="A1228" s="3">
        <v>1226</v>
      </c>
      <c r="B1228" s="3" t="s">
        <v>3413</v>
      </c>
      <c r="C1228" s="6" t="s">
        <v>3546</v>
      </c>
      <c r="D1228" s="6" t="s">
        <v>3547</v>
      </c>
      <c r="E1228" s="7" t="s">
        <v>3548</v>
      </c>
      <c r="F1228" s="5"/>
      <c r="G1228" s="5"/>
    </row>
    <row r="1229" spans="1:7" ht="140.4" thickBot="1">
      <c r="A1229" s="3">
        <v>1227</v>
      </c>
      <c r="B1229" s="3" t="s">
        <v>3413</v>
      </c>
      <c r="C1229" s="6" t="s">
        <v>3549</v>
      </c>
      <c r="D1229" s="6" t="s">
        <v>3550</v>
      </c>
      <c r="E1229" s="7" t="s">
        <v>3551</v>
      </c>
      <c r="F1229" s="5"/>
      <c r="G1229" s="5"/>
    </row>
    <row r="1230" spans="1:7" ht="126.6" thickBot="1">
      <c r="A1230" s="3">
        <v>1228</v>
      </c>
      <c r="B1230" s="3" t="s">
        <v>3413</v>
      </c>
      <c r="C1230" s="6" t="s">
        <v>3552</v>
      </c>
      <c r="D1230" s="6" t="s">
        <v>3553</v>
      </c>
      <c r="E1230" s="7" t="s">
        <v>3554</v>
      </c>
      <c r="F1230" s="5"/>
      <c r="G1230" s="5"/>
    </row>
    <row r="1231" spans="1:7" ht="126.6" thickBot="1">
      <c r="A1231" s="3">
        <v>1229</v>
      </c>
      <c r="B1231" s="3" t="s">
        <v>3413</v>
      </c>
      <c r="C1231" s="6" t="s">
        <v>227</v>
      </c>
      <c r="D1231" s="6" t="s">
        <v>3555</v>
      </c>
      <c r="E1231" s="7" t="s">
        <v>3556</v>
      </c>
      <c r="F1231" s="5"/>
      <c r="G1231" s="5"/>
    </row>
    <row r="1232" spans="1:7" ht="126.6" thickBot="1">
      <c r="A1232" s="3">
        <v>1230</v>
      </c>
      <c r="B1232" s="3" t="s">
        <v>3413</v>
      </c>
      <c r="C1232" s="6" t="s">
        <v>8</v>
      </c>
      <c r="D1232" s="6" t="s">
        <v>3557</v>
      </c>
      <c r="E1232" s="7" t="s">
        <v>3558</v>
      </c>
      <c r="F1232" s="5"/>
      <c r="G1232" s="5"/>
    </row>
    <row r="1233" spans="1:7" ht="112.8" thickBot="1">
      <c r="A1233" s="3">
        <v>1231</v>
      </c>
      <c r="B1233" s="3" t="s">
        <v>3413</v>
      </c>
      <c r="C1233" s="6" t="s">
        <v>3559</v>
      </c>
      <c r="D1233" s="6" t="s">
        <v>3560</v>
      </c>
      <c r="E1233" s="7" t="s">
        <v>3561</v>
      </c>
      <c r="F1233" s="5"/>
      <c r="G1233" s="5"/>
    </row>
    <row r="1234" spans="1:7" ht="112.8" thickBot="1">
      <c r="A1234" s="3">
        <v>1232</v>
      </c>
      <c r="B1234" s="3" t="s">
        <v>3413</v>
      </c>
      <c r="C1234" s="6" t="s">
        <v>414</v>
      </c>
      <c r="D1234" s="6" t="s">
        <v>3434</v>
      </c>
      <c r="E1234" s="7" t="s">
        <v>3562</v>
      </c>
      <c r="F1234" s="5"/>
      <c r="G1234" s="5"/>
    </row>
    <row r="1235" spans="1:7" ht="112.8" thickBot="1">
      <c r="A1235" s="3">
        <v>1233</v>
      </c>
      <c r="B1235" s="3" t="s">
        <v>3413</v>
      </c>
      <c r="C1235" s="6" t="s">
        <v>3563</v>
      </c>
      <c r="D1235" s="6" t="s">
        <v>3564</v>
      </c>
      <c r="E1235" s="7" t="s">
        <v>3565</v>
      </c>
      <c r="F1235" s="5"/>
      <c r="G1235" s="5"/>
    </row>
    <row r="1236" spans="1:7" ht="126.6" thickBot="1">
      <c r="A1236" s="3">
        <v>1234</v>
      </c>
      <c r="B1236" s="3" t="s">
        <v>3413</v>
      </c>
      <c r="C1236" s="6" t="s">
        <v>417</v>
      </c>
      <c r="D1236" s="6" t="s">
        <v>3566</v>
      </c>
      <c r="E1236" s="7" t="s">
        <v>3567</v>
      </c>
      <c r="F1236" s="5"/>
      <c r="G1236" s="5"/>
    </row>
    <row r="1237" spans="1:7" ht="112.8" thickBot="1">
      <c r="A1237" s="3">
        <v>1235</v>
      </c>
      <c r="B1237" s="3" t="s">
        <v>3413</v>
      </c>
      <c r="C1237" s="6" t="s">
        <v>3568</v>
      </c>
      <c r="D1237" s="6" t="s">
        <v>3569</v>
      </c>
      <c r="E1237" s="7" t="s">
        <v>3570</v>
      </c>
      <c r="F1237" s="5"/>
      <c r="G1237" s="5"/>
    </row>
    <row r="1238" spans="1:7" ht="126.6" thickBot="1">
      <c r="A1238" s="3">
        <v>1236</v>
      </c>
      <c r="B1238" s="3" t="s">
        <v>3413</v>
      </c>
      <c r="C1238" s="6" t="s">
        <v>3571</v>
      </c>
      <c r="D1238" s="6" t="s">
        <v>3572</v>
      </c>
      <c r="E1238" s="7" t="s">
        <v>3573</v>
      </c>
      <c r="F1238" s="5"/>
      <c r="G1238" s="5"/>
    </row>
    <row r="1239" spans="1:7" ht="112.8" thickBot="1">
      <c r="A1239" s="3">
        <v>1237</v>
      </c>
      <c r="B1239" s="3" t="s">
        <v>3413</v>
      </c>
      <c r="C1239" s="6" t="s">
        <v>266</v>
      </c>
      <c r="D1239" s="6" t="s">
        <v>3419</v>
      </c>
      <c r="E1239" s="7" t="s">
        <v>3574</v>
      </c>
      <c r="F1239" s="5"/>
      <c r="G1239" s="5"/>
    </row>
    <row r="1240" spans="1:7" ht="112.8" thickBot="1">
      <c r="A1240" s="3">
        <v>1238</v>
      </c>
      <c r="B1240" s="3" t="s">
        <v>3413</v>
      </c>
      <c r="C1240" s="6" t="s">
        <v>619</v>
      </c>
      <c r="D1240" s="6" t="s">
        <v>3575</v>
      </c>
      <c r="E1240" s="7" t="s">
        <v>3576</v>
      </c>
      <c r="F1240" s="5"/>
      <c r="G1240" s="5"/>
    </row>
    <row r="1241" spans="1:7" ht="112.8" thickBot="1">
      <c r="A1241" s="3">
        <v>1239</v>
      </c>
      <c r="B1241" s="3" t="s">
        <v>3413</v>
      </c>
      <c r="C1241" s="6" t="s">
        <v>3577</v>
      </c>
      <c r="D1241" s="6" t="s">
        <v>3578</v>
      </c>
      <c r="E1241" s="7" t="s">
        <v>3579</v>
      </c>
      <c r="F1241" s="5"/>
      <c r="G1241" s="5"/>
    </row>
    <row r="1242" spans="1:7" ht="112.8" thickBot="1">
      <c r="A1242" s="3">
        <v>1240</v>
      </c>
      <c r="B1242" s="3" t="s">
        <v>3413</v>
      </c>
      <c r="C1242" s="6" t="s">
        <v>3580</v>
      </c>
      <c r="D1242" s="6" t="s">
        <v>3581</v>
      </c>
      <c r="E1242" s="7" t="s">
        <v>3582</v>
      </c>
      <c r="F1242" s="5"/>
      <c r="G1242" s="5"/>
    </row>
    <row r="1243" spans="1:7" ht="112.8" thickBot="1">
      <c r="A1243" s="3">
        <v>1241</v>
      </c>
      <c r="B1243" s="3" t="s">
        <v>3413</v>
      </c>
      <c r="C1243" s="6" t="s">
        <v>3583</v>
      </c>
      <c r="D1243" s="6" t="s">
        <v>3584</v>
      </c>
      <c r="E1243" s="7" t="s">
        <v>3585</v>
      </c>
      <c r="F1243" s="5"/>
      <c r="G1243" s="5"/>
    </row>
    <row r="1244" spans="1:7" ht="112.8" thickBot="1">
      <c r="A1244" s="3">
        <v>1242</v>
      </c>
      <c r="B1244" s="3" t="s">
        <v>3413</v>
      </c>
      <c r="C1244" s="6" t="s">
        <v>131</v>
      </c>
      <c r="D1244" s="6" t="s">
        <v>3586</v>
      </c>
      <c r="E1244" s="7" t="s">
        <v>3587</v>
      </c>
      <c r="F1244" s="5"/>
      <c r="G1244" s="5"/>
    </row>
    <row r="1245" spans="1:7" ht="126.6" thickBot="1">
      <c r="A1245" s="3">
        <v>1243</v>
      </c>
      <c r="B1245" s="3" t="s">
        <v>3413</v>
      </c>
      <c r="C1245" s="6" t="s">
        <v>249</v>
      </c>
      <c r="D1245" s="6" t="s">
        <v>3588</v>
      </c>
      <c r="E1245" s="7" t="s">
        <v>3589</v>
      </c>
      <c r="F1245" s="5"/>
      <c r="G1245" s="5"/>
    </row>
    <row r="1246" spans="1:7" ht="112.8" thickBot="1">
      <c r="A1246" s="3">
        <v>1244</v>
      </c>
      <c r="B1246" s="3" t="s">
        <v>3413</v>
      </c>
      <c r="C1246" s="6" t="s">
        <v>3590</v>
      </c>
      <c r="D1246" s="6" t="s">
        <v>3591</v>
      </c>
      <c r="E1246" s="7" t="s">
        <v>3592</v>
      </c>
      <c r="F1246" s="5"/>
      <c r="G1246" s="5"/>
    </row>
    <row r="1247" spans="1:7" ht="112.8" thickBot="1">
      <c r="A1247" s="3">
        <v>1245</v>
      </c>
      <c r="B1247" s="3" t="s">
        <v>3413</v>
      </c>
      <c r="C1247" s="6" t="s">
        <v>255</v>
      </c>
      <c r="D1247" s="6" t="s">
        <v>3593</v>
      </c>
      <c r="E1247" s="7" t="s">
        <v>3594</v>
      </c>
      <c r="F1247" s="5"/>
      <c r="G1247" s="5"/>
    </row>
    <row r="1248" spans="1:7" ht="112.8" thickBot="1">
      <c r="A1248" s="3">
        <v>1246</v>
      </c>
      <c r="B1248" s="3" t="s">
        <v>3413</v>
      </c>
      <c r="C1248" s="6" t="s">
        <v>3595</v>
      </c>
      <c r="D1248" s="6" t="s">
        <v>3596</v>
      </c>
      <c r="E1248" s="7" t="s">
        <v>3597</v>
      </c>
      <c r="F1248" s="5"/>
      <c r="G1248" s="5"/>
    </row>
    <row r="1249" spans="1:7" ht="112.8" thickBot="1">
      <c r="A1249" s="3">
        <v>1247</v>
      </c>
      <c r="B1249" s="3" t="s">
        <v>3413</v>
      </c>
      <c r="C1249" s="6" t="s">
        <v>401</v>
      </c>
      <c r="D1249" s="6" t="s">
        <v>3502</v>
      </c>
      <c r="E1249" s="7" t="s">
        <v>3598</v>
      </c>
      <c r="F1249" s="5"/>
      <c r="G1249" s="5"/>
    </row>
    <row r="1250" spans="1:7" ht="112.8" thickBot="1">
      <c r="A1250" s="3">
        <v>1248</v>
      </c>
      <c r="B1250" s="3" t="s">
        <v>3413</v>
      </c>
      <c r="C1250" s="6" t="s">
        <v>658</v>
      </c>
      <c r="D1250" s="6" t="s">
        <v>3599</v>
      </c>
      <c r="E1250" s="7" t="s">
        <v>3600</v>
      </c>
      <c r="F1250" s="5"/>
      <c r="G1250" s="5"/>
    </row>
    <row r="1251" spans="1:7" ht="126.6" thickBot="1">
      <c r="A1251" s="3">
        <v>1249</v>
      </c>
      <c r="B1251" s="3" t="s">
        <v>3413</v>
      </c>
      <c r="C1251" s="6" t="s">
        <v>326</v>
      </c>
      <c r="D1251" s="6" t="s">
        <v>3601</v>
      </c>
      <c r="E1251" s="7" t="s">
        <v>3602</v>
      </c>
      <c r="F1251" s="5"/>
      <c r="G1251" s="5"/>
    </row>
    <row r="1252" spans="1:7" ht="112.8" thickBot="1">
      <c r="A1252" s="3">
        <v>1250</v>
      </c>
      <c r="B1252" s="3" t="s">
        <v>3413</v>
      </c>
      <c r="C1252" s="6" t="s">
        <v>604</v>
      </c>
      <c r="D1252" s="6" t="s">
        <v>3603</v>
      </c>
      <c r="E1252" s="7" t="s">
        <v>3604</v>
      </c>
      <c r="F1252" s="5"/>
      <c r="G1252" s="5"/>
    </row>
    <row r="1253" spans="1:7" ht="112.8" thickBot="1">
      <c r="A1253" s="3">
        <v>1251</v>
      </c>
      <c r="B1253" s="3" t="s">
        <v>3413</v>
      </c>
      <c r="C1253" s="6" t="s">
        <v>3605</v>
      </c>
      <c r="D1253" s="6" t="s">
        <v>3606</v>
      </c>
      <c r="E1253" s="7" t="s">
        <v>3607</v>
      </c>
      <c r="F1253" s="5"/>
      <c r="G1253" s="5"/>
    </row>
    <row r="1254" spans="1:7" ht="112.8" thickBot="1">
      <c r="A1254" s="3">
        <v>1252</v>
      </c>
      <c r="B1254" s="3" t="s">
        <v>3413</v>
      </c>
      <c r="C1254" s="6" t="s">
        <v>324</v>
      </c>
      <c r="D1254" s="6" t="s">
        <v>3449</v>
      </c>
      <c r="E1254" s="7" t="s">
        <v>3608</v>
      </c>
      <c r="F1254" s="5"/>
      <c r="G1254" s="5"/>
    </row>
    <row r="1255" spans="1:7" ht="112.8" thickBot="1">
      <c r="A1255" s="3">
        <v>1253</v>
      </c>
      <c r="B1255" s="3" t="s">
        <v>3413</v>
      </c>
      <c r="C1255" s="6" t="s">
        <v>3609</v>
      </c>
      <c r="D1255" s="6" t="s">
        <v>3610</v>
      </c>
      <c r="E1255" s="7" t="s">
        <v>3611</v>
      </c>
      <c r="F1255" s="5"/>
      <c r="G1255" s="5"/>
    </row>
    <row r="1256" spans="1:7" ht="126.6" thickBot="1">
      <c r="A1256" s="3">
        <v>1254</v>
      </c>
      <c r="B1256" s="3" t="s">
        <v>3413</v>
      </c>
      <c r="C1256" s="6" t="s">
        <v>99</v>
      </c>
      <c r="D1256" s="6" t="s">
        <v>3612</v>
      </c>
      <c r="E1256" s="7" t="s">
        <v>3613</v>
      </c>
      <c r="F1256" s="5"/>
      <c r="G1256" s="5"/>
    </row>
    <row r="1257" spans="1:7" ht="112.8" thickBot="1">
      <c r="A1257" s="3">
        <v>1255</v>
      </c>
      <c r="B1257" s="3" t="s">
        <v>3413</v>
      </c>
      <c r="C1257" s="6" t="s">
        <v>3614</v>
      </c>
      <c r="D1257" s="6" t="s">
        <v>3615</v>
      </c>
      <c r="E1257" s="7" t="s">
        <v>3616</v>
      </c>
      <c r="F1257" s="5"/>
      <c r="G1257" s="5"/>
    </row>
    <row r="1258" spans="1:7" ht="112.8" thickBot="1">
      <c r="A1258" s="3">
        <v>1256</v>
      </c>
      <c r="B1258" s="3" t="s">
        <v>3413</v>
      </c>
      <c r="C1258" s="6" t="s">
        <v>3617</v>
      </c>
      <c r="D1258" s="6" t="s">
        <v>3618</v>
      </c>
      <c r="E1258" s="7" t="s">
        <v>3619</v>
      </c>
      <c r="F1258" s="5"/>
      <c r="G1258" s="5"/>
    </row>
    <row r="1259" spans="1:7" ht="126.6" thickBot="1">
      <c r="A1259" s="3">
        <v>1257</v>
      </c>
      <c r="B1259" s="3" t="s">
        <v>3413</v>
      </c>
      <c r="C1259" s="6" t="s">
        <v>436</v>
      </c>
      <c r="D1259" s="6" t="s">
        <v>3620</v>
      </c>
      <c r="E1259" s="7" t="s">
        <v>3621</v>
      </c>
      <c r="F1259" s="5"/>
      <c r="G1259" s="5"/>
    </row>
    <row r="1260" spans="1:7" ht="140.4" thickBot="1">
      <c r="A1260" s="3">
        <v>1258</v>
      </c>
      <c r="B1260" s="3" t="s">
        <v>3413</v>
      </c>
      <c r="C1260" s="6" t="s">
        <v>335</v>
      </c>
      <c r="D1260" s="6" t="s">
        <v>3622</v>
      </c>
      <c r="E1260" s="7" t="s">
        <v>3623</v>
      </c>
      <c r="F1260" s="5"/>
      <c r="G1260" s="5"/>
    </row>
    <row r="1261" spans="1:7" ht="112.8" thickBot="1">
      <c r="A1261" s="3">
        <v>1259</v>
      </c>
      <c r="B1261" s="3" t="s">
        <v>3413</v>
      </c>
      <c r="C1261" s="6" t="s">
        <v>598</v>
      </c>
      <c r="D1261" s="6" t="s">
        <v>3624</v>
      </c>
      <c r="E1261" s="7" t="s">
        <v>3625</v>
      </c>
      <c r="F1261" s="5"/>
      <c r="G1261" s="5"/>
    </row>
    <row r="1262" spans="1:7" ht="112.8" thickBot="1">
      <c r="A1262" s="3">
        <v>1260</v>
      </c>
      <c r="B1262" s="3" t="s">
        <v>3413</v>
      </c>
      <c r="C1262" s="6" t="s">
        <v>315</v>
      </c>
      <c r="D1262" s="6" t="s">
        <v>3454</v>
      </c>
      <c r="E1262" s="7" t="s">
        <v>3626</v>
      </c>
      <c r="F1262" s="5"/>
      <c r="G1262" s="5"/>
    </row>
    <row r="1263" spans="1:7" ht="126.6" thickBot="1">
      <c r="A1263" s="3">
        <v>1261</v>
      </c>
      <c r="B1263" s="3" t="s">
        <v>3413</v>
      </c>
      <c r="C1263" s="6" t="s">
        <v>403</v>
      </c>
      <c r="D1263" s="6" t="s">
        <v>3627</v>
      </c>
      <c r="E1263" s="7" t="s">
        <v>3628</v>
      </c>
      <c r="F1263" s="5"/>
      <c r="G1263" s="5"/>
    </row>
    <row r="1264" spans="1:7" ht="126.6" thickBot="1">
      <c r="A1264" s="3">
        <v>1262</v>
      </c>
      <c r="B1264" s="3" t="s">
        <v>3413</v>
      </c>
      <c r="C1264" s="6" t="s">
        <v>163</v>
      </c>
      <c r="D1264" s="6" t="s">
        <v>3629</v>
      </c>
      <c r="E1264" s="7" t="s">
        <v>3630</v>
      </c>
      <c r="F1264" s="5"/>
      <c r="G1264" s="5"/>
    </row>
    <row r="1265" spans="1:7" ht="112.8" thickBot="1">
      <c r="A1265" s="3">
        <v>1263</v>
      </c>
      <c r="B1265" s="3" t="s">
        <v>3413</v>
      </c>
      <c r="C1265" s="6" t="s">
        <v>3631</v>
      </c>
      <c r="D1265" s="6" t="s">
        <v>3632</v>
      </c>
      <c r="E1265" s="7" t="s">
        <v>3633</v>
      </c>
      <c r="F1265" s="5"/>
      <c r="G1265" s="5"/>
    </row>
    <row r="1266" spans="1:7" ht="112.8" thickBot="1">
      <c r="A1266" s="3">
        <v>1264</v>
      </c>
      <c r="B1266" s="3" t="s">
        <v>3413</v>
      </c>
      <c r="C1266" s="6" t="s">
        <v>3634</v>
      </c>
      <c r="D1266" s="6" t="s">
        <v>3635</v>
      </c>
      <c r="E1266" s="7" t="s">
        <v>3636</v>
      </c>
      <c r="F1266" s="5"/>
      <c r="G1266" s="5"/>
    </row>
    <row r="1267" spans="1:7" ht="112.8" thickBot="1">
      <c r="A1267" s="3">
        <v>1265</v>
      </c>
      <c r="B1267" s="3" t="s">
        <v>3413</v>
      </c>
      <c r="C1267" s="6" t="s">
        <v>568</v>
      </c>
      <c r="D1267" s="6" t="s">
        <v>3637</v>
      </c>
      <c r="E1267" s="7" t="s">
        <v>3638</v>
      </c>
      <c r="F1267" s="5"/>
      <c r="G1267" s="5"/>
    </row>
    <row r="1268" spans="1:7" ht="112.8" thickBot="1">
      <c r="A1268" s="3">
        <v>1266</v>
      </c>
      <c r="B1268" s="3" t="s">
        <v>3413</v>
      </c>
      <c r="C1268" s="6" t="s">
        <v>3639</v>
      </c>
      <c r="D1268" s="6" t="s">
        <v>3449</v>
      </c>
      <c r="E1268" s="7" t="s">
        <v>3640</v>
      </c>
      <c r="F1268" s="5"/>
      <c r="G1268" s="5"/>
    </row>
    <row r="1269" spans="1:7" ht="126.6" thickBot="1">
      <c r="A1269" s="3">
        <v>1267</v>
      </c>
      <c r="B1269" s="3" t="s">
        <v>3413</v>
      </c>
      <c r="C1269" s="6" t="s">
        <v>3641</v>
      </c>
      <c r="D1269" s="6" t="s">
        <v>3642</v>
      </c>
      <c r="E1269" s="7" t="s">
        <v>3643</v>
      </c>
      <c r="F1269" s="5"/>
      <c r="G1269" s="5"/>
    </row>
    <row r="1270" spans="1:7" ht="112.8" thickBot="1">
      <c r="A1270" s="3">
        <v>1268</v>
      </c>
      <c r="B1270" s="3" t="s">
        <v>3413</v>
      </c>
      <c r="C1270" s="6" t="s">
        <v>151</v>
      </c>
      <c r="D1270" s="6" t="s">
        <v>3644</v>
      </c>
      <c r="E1270" s="7" t="s">
        <v>3645</v>
      </c>
      <c r="F1270" s="5"/>
      <c r="G1270" s="5"/>
    </row>
    <row r="1271" spans="1:7" ht="112.8" thickBot="1">
      <c r="A1271" s="3">
        <v>1269</v>
      </c>
      <c r="B1271" s="3" t="s">
        <v>3413</v>
      </c>
      <c r="C1271" s="6" t="s">
        <v>3646</v>
      </c>
      <c r="D1271" s="6" t="s">
        <v>3429</v>
      </c>
      <c r="E1271" s="7" t="s">
        <v>3647</v>
      </c>
      <c r="F1271" s="5"/>
      <c r="G1271" s="5"/>
    </row>
    <row r="1272" spans="1:7" ht="112.8" thickBot="1">
      <c r="A1272" s="3">
        <v>1270</v>
      </c>
      <c r="B1272" s="3" t="s">
        <v>3413</v>
      </c>
      <c r="C1272" s="6" t="s">
        <v>3648</v>
      </c>
      <c r="D1272" s="6" t="s">
        <v>3649</v>
      </c>
      <c r="E1272" s="7" t="s">
        <v>3650</v>
      </c>
      <c r="F1272" s="5"/>
      <c r="G1272" s="5"/>
    </row>
    <row r="1273" spans="1:7" ht="140.4" thickBot="1">
      <c r="A1273" s="3">
        <v>1271</v>
      </c>
      <c r="B1273" s="3" t="s">
        <v>3413</v>
      </c>
      <c r="C1273" s="6" t="s">
        <v>104</v>
      </c>
      <c r="D1273" s="6" t="s">
        <v>3651</v>
      </c>
      <c r="E1273" s="7" t="s">
        <v>3652</v>
      </c>
      <c r="F1273" s="5"/>
      <c r="G1273" s="5"/>
    </row>
    <row r="1274" spans="1:7" ht="112.8" thickBot="1">
      <c r="A1274" s="3">
        <v>1272</v>
      </c>
      <c r="B1274" s="3" t="s">
        <v>3413</v>
      </c>
      <c r="C1274" s="6" t="s">
        <v>659</v>
      </c>
      <c r="D1274" s="6" t="s">
        <v>3653</v>
      </c>
      <c r="E1274" s="7" t="s">
        <v>3654</v>
      </c>
      <c r="F1274" s="5"/>
      <c r="G1274" s="5"/>
    </row>
    <row r="1275" spans="1:7" ht="112.8" thickBot="1">
      <c r="A1275" s="3">
        <v>1273</v>
      </c>
      <c r="B1275" s="3" t="s">
        <v>3413</v>
      </c>
      <c r="C1275" s="6" t="s">
        <v>660</v>
      </c>
      <c r="D1275" s="6" t="s">
        <v>3655</v>
      </c>
      <c r="E1275" s="7" t="s">
        <v>3656</v>
      </c>
      <c r="F1275" s="5"/>
      <c r="G1275" s="5"/>
    </row>
    <row r="1276" spans="1:7" ht="112.8" thickBot="1">
      <c r="A1276" s="3">
        <v>1274</v>
      </c>
      <c r="B1276" s="3" t="s">
        <v>3413</v>
      </c>
      <c r="C1276" s="6" t="s">
        <v>304</v>
      </c>
      <c r="D1276" s="6" t="s">
        <v>3657</v>
      </c>
      <c r="E1276" s="7" t="s">
        <v>3658</v>
      </c>
      <c r="F1276" s="5"/>
      <c r="G1276" s="5"/>
    </row>
    <row r="1277" spans="1:7" ht="112.8" thickBot="1">
      <c r="A1277" s="3">
        <v>1275</v>
      </c>
      <c r="B1277" s="3" t="s">
        <v>3413</v>
      </c>
      <c r="C1277" s="6" t="s">
        <v>33</v>
      </c>
      <c r="D1277" s="6" t="s">
        <v>3659</v>
      </c>
      <c r="E1277" s="7" t="s">
        <v>3660</v>
      </c>
      <c r="F1277" s="5"/>
      <c r="G1277" s="5"/>
    </row>
    <row r="1278" spans="1:7" ht="126.6" thickBot="1">
      <c r="A1278" s="3">
        <v>1276</v>
      </c>
      <c r="B1278" s="3" t="s">
        <v>3413</v>
      </c>
      <c r="C1278" s="6" t="s">
        <v>384</v>
      </c>
      <c r="D1278" s="6" t="s">
        <v>3661</v>
      </c>
      <c r="E1278" s="7" t="s">
        <v>3662</v>
      </c>
      <c r="F1278" s="5"/>
      <c r="G1278" s="5"/>
    </row>
    <row r="1279" spans="1:7" ht="112.8" thickBot="1">
      <c r="A1279" s="3">
        <v>1277</v>
      </c>
      <c r="B1279" s="3" t="s">
        <v>3413</v>
      </c>
      <c r="C1279" s="6" t="s">
        <v>124</v>
      </c>
      <c r="D1279" s="6" t="s">
        <v>3599</v>
      </c>
      <c r="E1279" s="7" t="s">
        <v>3663</v>
      </c>
      <c r="F1279" s="5"/>
      <c r="G1279" s="5"/>
    </row>
    <row r="1280" spans="1:7" ht="112.8" thickBot="1">
      <c r="A1280" s="3">
        <v>1278</v>
      </c>
      <c r="B1280" s="3" t="s">
        <v>3413</v>
      </c>
      <c r="C1280" s="6" t="s">
        <v>136</v>
      </c>
      <c r="D1280" s="6" t="s">
        <v>3664</v>
      </c>
      <c r="E1280" s="7" t="s">
        <v>3665</v>
      </c>
      <c r="F1280" s="5"/>
      <c r="G1280" s="5"/>
    </row>
    <row r="1281" spans="1:7" ht="112.8" thickBot="1">
      <c r="A1281" s="3">
        <v>1279</v>
      </c>
      <c r="B1281" s="3" t="s">
        <v>3413</v>
      </c>
      <c r="C1281" s="6" t="s">
        <v>115</v>
      </c>
      <c r="D1281" s="6" t="s">
        <v>3449</v>
      </c>
      <c r="E1281" s="7" t="s">
        <v>3666</v>
      </c>
      <c r="F1281" s="5"/>
      <c r="G1281" s="5"/>
    </row>
    <row r="1282" spans="1:7" ht="112.8" thickBot="1">
      <c r="A1282" s="3">
        <v>1280</v>
      </c>
      <c r="B1282" s="3" t="s">
        <v>3413</v>
      </c>
      <c r="C1282" s="6" t="s">
        <v>134</v>
      </c>
      <c r="D1282" s="6" t="s">
        <v>3667</v>
      </c>
      <c r="E1282" s="7" t="s">
        <v>3668</v>
      </c>
      <c r="F1282" s="5"/>
      <c r="G1282" s="5"/>
    </row>
    <row r="1283" spans="1:7" ht="112.8" thickBot="1">
      <c r="A1283" s="3">
        <v>1281</v>
      </c>
      <c r="B1283" s="3" t="s">
        <v>3413</v>
      </c>
      <c r="C1283" s="6" t="s">
        <v>3669</v>
      </c>
      <c r="D1283" s="6" t="s">
        <v>3596</v>
      </c>
      <c r="E1283" s="7" t="s">
        <v>3670</v>
      </c>
      <c r="F1283" s="5"/>
      <c r="G1283" s="5"/>
    </row>
    <row r="1284" spans="1:7" ht="112.8" thickBot="1">
      <c r="A1284" s="3">
        <v>1282</v>
      </c>
      <c r="B1284" s="3" t="s">
        <v>3413</v>
      </c>
      <c r="C1284" s="6" t="s">
        <v>468</v>
      </c>
      <c r="D1284" s="6" t="s">
        <v>3671</v>
      </c>
      <c r="E1284" s="7" t="s">
        <v>3672</v>
      </c>
      <c r="F1284" s="5"/>
      <c r="G1284" s="5"/>
    </row>
    <row r="1285" spans="1:7" ht="112.8" thickBot="1">
      <c r="A1285" s="3">
        <v>1283</v>
      </c>
      <c r="B1285" s="3" t="s">
        <v>3413</v>
      </c>
      <c r="C1285" s="6" t="s">
        <v>3673</v>
      </c>
      <c r="D1285" s="6" t="s">
        <v>3674</v>
      </c>
      <c r="E1285" s="7" t="s">
        <v>3675</v>
      </c>
      <c r="F1285" s="5"/>
      <c r="G1285" s="5"/>
    </row>
    <row r="1286" spans="1:7" ht="126.6" thickBot="1">
      <c r="A1286" s="3">
        <v>1284</v>
      </c>
      <c r="B1286" s="3" t="s">
        <v>3413</v>
      </c>
      <c r="C1286" s="6" t="s">
        <v>3676</v>
      </c>
      <c r="D1286" s="6" t="s">
        <v>3677</v>
      </c>
      <c r="E1286" s="7" t="s">
        <v>3678</v>
      </c>
      <c r="F1286" s="5"/>
      <c r="G1286" s="5"/>
    </row>
    <row r="1287" spans="1:7" ht="112.8" thickBot="1">
      <c r="A1287" s="3">
        <v>1285</v>
      </c>
      <c r="B1287" s="3" t="s">
        <v>3413</v>
      </c>
      <c r="C1287" s="6" t="s">
        <v>3679</v>
      </c>
      <c r="D1287" s="6" t="s">
        <v>3429</v>
      </c>
      <c r="E1287" s="7" t="s">
        <v>3680</v>
      </c>
      <c r="F1287" s="5"/>
      <c r="G1287" s="5"/>
    </row>
    <row r="1288" spans="1:7" ht="112.8" thickBot="1">
      <c r="A1288" s="3">
        <v>1286</v>
      </c>
      <c r="B1288" s="3" t="s">
        <v>3413</v>
      </c>
      <c r="C1288" s="6" t="s">
        <v>3681</v>
      </c>
      <c r="D1288" s="6" t="s">
        <v>3682</v>
      </c>
      <c r="E1288" s="7" t="s">
        <v>3683</v>
      </c>
      <c r="F1288" s="5"/>
      <c r="G1288" s="5"/>
    </row>
    <row r="1289" spans="1:7" ht="126.6" thickBot="1">
      <c r="A1289" s="3">
        <v>1287</v>
      </c>
      <c r="B1289" s="3" t="s">
        <v>3413</v>
      </c>
      <c r="C1289" s="6" t="s">
        <v>3684</v>
      </c>
      <c r="D1289" s="6" t="s">
        <v>3685</v>
      </c>
      <c r="E1289" s="7" t="s">
        <v>3686</v>
      </c>
      <c r="F1289" s="5"/>
      <c r="G1289" s="5"/>
    </row>
    <row r="1290" spans="1:7" ht="112.8" thickBot="1">
      <c r="A1290" s="3">
        <v>1288</v>
      </c>
      <c r="B1290" s="3" t="s">
        <v>3413</v>
      </c>
      <c r="C1290" s="6" t="s">
        <v>639</v>
      </c>
      <c r="D1290" s="6" t="s">
        <v>3687</v>
      </c>
      <c r="E1290" s="7" t="s">
        <v>3688</v>
      </c>
      <c r="F1290" s="5"/>
      <c r="G1290" s="5"/>
    </row>
    <row r="1291" spans="1:7" ht="112.8" thickBot="1">
      <c r="A1291" s="3">
        <v>1289</v>
      </c>
      <c r="B1291" s="3" t="s">
        <v>3413</v>
      </c>
      <c r="C1291" s="6" t="s">
        <v>3689</v>
      </c>
      <c r="D1291" s="6" t="s">
        <v>3690</v>
      </c>
      <c r="E1291" s="7" t="s">
        <v>3691</v>
      </c>
      <c r="F1291" s="5"/>
      <c r="G1291" s="5"/>
    </row>
    <row r="1292" spans="1:7" ht="112.8" thickBot="1">
      <c r="A1292" s="3">
        <v>1290</v>
      </c>
      <c r="B1292" s="3" t="s">
        <v>3413</v>
      </c>
      <c r="C1292" s="6" t="s">
        <v>356</v>
      </c>
      <c r="D1292" s="6" t="s">
        <v>3692</v>
      </c>
      <c r="E1292" s="7" t="s">
        <v>3693</v>
      </c>
      <c r="F1292" s="5"/>
      <c r="G1292" s="5"/>
    </row>
    <row r="1293" spans="1:7" ht="112.8" thickBot="1">
      <c r="A1293" s="3">
        <v>1291</v>
      </c>
      <c r="B1293" s="3" t="s">
        <v>3413</v>
      </c>
      <c r="C1293" s="6" t="s">
        <v>393</v>
      </c>
      <c r="D1293" s="6" t="s">
        <v>3694</v>
      </c>
      <c r="E1293" s="7" t="s">
        <v>3695</v>
      </c>
      <c r="F1293" s="5"/>
      <c r="G1293" s="5"/>
    </row>
    <row r="1294" spans="1:7" ht="154.19999999999999" thickBot="1">
      <c r="A1294" s="3">
        <v>1292</v>
      </c>
      <c r="B1294" s="3" t="s">
        <v>3413</v>
      </c>
      <c r="C1294" s="6" t="s">
        <v>562</v>
      </c>
      <c r="D1294" s="6" t="s">
        <v>3696</v>
      </c>
      <c r="E1294" s="7" t="s">
        <v>3697</v>
      </c>
      <c r="F1294" s="5"/>
      <c r="G1294" s="5"/>
    </row>
    <row r="1295" spans="1:7" ht="140.4" thickBot="1">
      <c r="A1295" s="3">
        <v>1293</v>
      </c>
      <c r="B1295" s="3" t="s">
        <v>3413</v>
      </c>
      <c r="C1295" s="6" t="s">
        <v>3698</v>
      </c>
      <c r="D1295" s="6" t="s">
        <v>3699</v>
      </c>
      <c r="E1295" s="7" t="s">
        <v>3700</v>
      </c>
      <c r="F1295" s="5"/>
      <c r="G1295" s="5"/>
    </row>
    <row r="1296" spans="1:7" ht="112.8" thickBot="1">
      <c r="A1296" s="3">
        <v>1294</v>
      </c>
      <c r="B1296" s="3" t="s">
        <v>3413</v>
      </c>
      <c r="C1296" s="6" t="s">
        <v>423</v>
      </c>
      <c r="D1296" s="6" t="s">
        <v>3599</v>
      </c>
      <c r="E1296" s="7" t="s">
        <v>3701</v>
      </c>
      <c r="F1296" s="5"/>
      <c r="G1296" s="5"/>
    </row>
    <row r="1297" spans="1:7" ht="112.8" thickBot="1">
      <c r="A1297" s="3">
        <v>1295</v>
      </c>
      <c r="B1297" s="3" t="s">
        <v>3413</v>
      </c>
      <c r="C1297" s="6" t="s">
        <v>3702</v>
      </c>
      <c r="D1297" s="6" t="s">
        <v>3703</v>
      </c>
      <c r="E1297" s="7" t="s">
        <v>3704</v>
      </c>
      <c r="F1297" s="5"/>
      <c r="G1297" s="5"/>
    </row>
    <row r="1298" spans="1:7" ht="112.8" thickBot="1">
      <c r="A1298" s="3">
        <v>1296</v>
      </c>
      <c r="B1298" s="3" t="s">
        <v>3413</v>
      </c>
      <c r="C1298" s="6" t="s">
        <v>129</v>
      </c>
      <c r="D1298" s="6" t="s">
        <v>3599</v>
      </c>
      <c r="E1298" s="7" t="s">
        <v>3705</v>
      </c>
      <c r="F1298" s="5"/>
      <c r="G1298" s="5"/>
    </row>
    <row r="1299" spans="1:7" ht="112.8" thickBot="1">
      <c r="A1299" s="3">
        <v>1297</v>
      </c>
      <c r="B1299" s="3" t="s">
        <v>3413</v>
      </c>
      <c r="C1299" s="6" t="s">
        <v>3706</v>
      </c>
      <c r="D1299" s="6" t="s">
        <v>3440</v>
      </c>
      <c r="E1299" s="7" t="s">
        <v>3707</v>
      </c>
      <c r="F1299" s="5"/>
      <c r="G1299" s="5"/>
    </row>
    <row r="1300" spans="1:7" ht="126.6" thickBot="1">
      <c r="A1300" s="3">
        <v>1298</v>
      </c>
      <c r="B1300" s="3" t="s">
        <v>3413</v>
      </c>
      <c r="C1300" s="6" t="s">
        <v>109</v>
      </c>
      <c r="D1300" s="6" t="s">
        <v>3708</v>
      </c>
      <c r="E1300" s="7" t="s">
        <v>3709</v>
      </c>
      <c r="F1300" s="5"/>
      <c r="G1300" s="5"/>
    </row>
    <row r="1301" spans="1:7" ht="112.8" thickBot="1">
      <c r="A1301" s="3">
        <v>1299</v>
      </c>
      <c r="B1301" s="3" t="s">
        <v>3413</v>
      </c>
      <c r="C1301" s="6" t="s">
        <v>145</v>
      </c>
      <c r="D1301" s="6" t="s">
        <v>3710</v>
      </c>
      <c r="E1301" s="7" t="s">
        <v>3711</v>
      </c>
      <c r="F1301" s="5"/>
      <c r="G1301" s="5"/>
    </row>
    <row r="1302" spans="1:7" ht="112.8" thickBot="1">
      <c r="A1302" s="3">
        <v>1300</v>
      </c>
      <c r="B1302" s="3" t="s">
        <v>3413</v>
      </c>
      <c r="C1302" s="6" t="s">
        <v>652</v>
      </c>
      <c r="D1302" s="6" t="s">
        <v>3712</v>
      </c>
      <c r="E1302" s="7" t="s">
        <v>3713</v>
      </c>
      <c r="F1302" s="5"/>
      <c r="G1302" s="5"/>
    </row>
    <row r="1303" spans="1:7" ht="112.8" thickBot="1">
      <c r="A1303" s="3">
        <v>1301</v>
      </c>
      <c r="B1303" s="3" t="s">
        <v>3413</v>
      </c>
      <c r="C1303" s="6" t="s">
        <v>3714</v>
      </c>
      <c r="D1303" s="6" t="s">
        <v>3440</v>
      </c>
      <c r="E1303" s="7" t="s">
        <v>3715</v>
      </c>
      <c r="F1303" s="5"/>
      <c r="G1303" s="5"/>
    </row>
    <row r="1304" spans="1:7" ht="126.6" thickBot="1">
      <c r="A1304" s="3">
        <v>1302</v>
      </c>
      <c r="B1304" s="3" t="s">
        <v>3413</v>
      </c>
      <c r="C1304" s="6" t="s">
        <v>543</v>
      </c>
      <c r="D1304" s="6" t="s">
        <v>3716</v>
      </c>
      <c r="E1304" s="7" t="s">
        <v>3717</v>
      </c>
      <c r="F1304" s="5"/>
      <c r="G1304" s="5"/>
    </row>
    <row r="1305" spans="1:7" ht="112.8" thickBot="1">
      <c r="A1305" s="3">
        <v>1303</v>
      </c>
      <c r="B1305" s="3" t="s">
        <v>3413</v>
      </c>
      <c r="C1305" s="6" t="s">
        <v>3718</v>
      </c>
      <c r="D1305" s="6" t="s">
        <v>3719</v>
      </c>
      <c r="E1305" s="7" t="s">
        <v>3720</v>
      </c>
      <c r="F1305" s="5"/>
      <c r="G1305" s="5"/>
    </row>
    <row r="1306" spans="1:7" ht="126.6" thickBot="1">
      <c r="A1306" s="3">
        <v>1304</v>
      </c>
      <c r="B1306" s="3" t="s">
        <v>3413</v>
      </c>
      <c r="C1306" s="6" t="s">
        <v>51</v>
      </c>
      <c r="D1306" s="6" t="s">
        <v>3423</v>
      </c>
      <c r="E1306" s="7" t="s">
        <v>3721</v>
      </c>
      <c r="F1306" s="5"/>
      <c r="G1306" s="5"/>
    </row>
    <row r="1307" spans="1:7" ht="126.6" thickBot="1">
      <c r="A1307" s="3">
        <v>1305</v>
      </c>
      <c r="B1307" s="3" t="s">
        <v>3413</v>
      </c>
      <c r="C1307" s="6" t="s">
        <v>504</v>
      </c>
      <c r="D1307" s="6" t="s">
        <v>3722</v>
      </c>
      <c r="E1307" s="7" t="s">
        <v>3723</v>
      </c>
      <c r="F1307" s="5"/>
      <c r="G1307" s="5"/>
    </row>
    <row r="1308" spans="1:7" ht="112.8" thickBot="1">
      <c r="A1308" s="3">
        <v>1306</v>
      </c>
      <c r="B1308" s="3" t="s">
        <v>3413</v>
      </c>
      <c r="C1308" s="6" t="s">
        <v>3724</v>
      </c>
      <c r="D1308" s="6" t="s">
        <v>3725</v>
      </c>
      <c r="E1308" s="7" t="s">
        <v>3726</v>
      </c>
      <c r="F1308" s="5"/>
      <c r="G1308" s="5"/>
    </row>
    <row r="1309" spans="1:7" ht="140.4" thickBot="1">
      <c r="A1309" s="3">
        <v>1307</v>
      </c>
      <c r="B1309" s="3" t="s">
        <v>3413</v>
      </c>
      <c r="C1309" s="6" t="s">
        <v>408</v>
      </c>
      <c r="D1309" s="6" t="s">
        <v>3727</v>
      </c>
      <c r="E1309" s="7" t="s">
        <v>3728</v>
      </c>
      <c r="F1309" s="5"/>
      <c r="G1309" s="5"/>
    </row>
    <row r="1310" spans="1:7" ht="112.8" thickBot="1">
      <c r="A1310" s="3">
        <v>1308</v>
      </c>
      <c r="B1310" s="3" t="s">
        <v>3413</v>
      </c>
      <c r="C1310" s="6" t="s">
        <v>3729</v>
      </c>
      <c r="D1310" s="6" t="s">
        <v>3730</v>
      </c>
      <c r="E1310" s="7" t="s">
        <v>3731</v>
      </c>
      <c r="F1310" s="5"/>
      <c r="G1310" s="5"/>
    </row>
    <row r="1311" spans="1:7" ht="112.8" thickBot="1">
      <c r="A1311" s="3">
        <v>1309</v>
      </c>
      <c r="B1311" s="3" t="s">
        <v>3413</v>
      </c>
      <c r="C1311" s="6" t="s">
        <v>3732</v>
      </c>
      <c r="D1311" s="6" t="s">
        <v>3682</v>
      </c>
      <c r="E1311" s="7" t="s">
        <v>3733</v>
      </c>
      <c r="F1311" s="5"/>
      <c r="G1311" s="5"/>
    </row>
    <row r="1312" spans="1:7" ht="112.8" thickBot="1">
      <c r="A1312" s="3">
        <v>1310</v>
      </c>
      <c r="B1312" s="3" t="s">
        <v>3413</v>
      </c>
      <c r="C1312" s="6" t="s">
        <v>494</v>
      </c>
      <c r="D1312" s="6" t="s">
        <v>3734</v>
      </c>
      <c r="E1312" s="7" t="s">
        <v>3735</v>
      </c>
      <c r="F1312" s="5"/>
      <c r="G1312" s="5"/>
    </row>
    <row r="1313" spans="1:7" ht="112.8" thickBot="1">
      <c r="A1313" s="3">
        <v>1311</v>
      </c>
      <c r="B1313" s="3" t="s">
        <v>3413</v>
      </c>
      <c r="C1313" s="6" t="s">
        <v>3736</v>
      </c>
      <c r="D1313" s="6" t="s">
        <v>3737</v>
      </c>
      <c r="E1313" s="7" t="s">
        <v>3738</v>
      </c>
      <c r="F1313" s="5"/>
      <c r="G1313" s="5"/>
    </row>
    <row r="1314" spans="1:7" ht="112.8" thickBot="1">
      <c r="A1314" s="3">
        <v>1312</v>
      </c>
      <c r="B1314" s="3" t="s">
        <v>3413</v>
      </c>
      <c r="C1314" s="6" t="s">
        <v>3739</v>
      </c>
      <c r="D1314" s="6" t="s">
        <v>3740</v>
      </c>
      <c r="E1314" s="7" t="s">
        <v>3741</v>
      </c>
      <c r="F1314" s="5"/>
      <c r="G1314" s="5"/>
    </row>
    <row r="1315" spans="1:7" ht="112.8" thickBot="1">
      <c r="A1315" s="3">
        <v>1313</v>
      </c>
      <c r="B1315" s="3" t="s">
        <v>3413</v>
      </c>
      <c r="C1315" s="6" t="s">
        <v>344</v>
      </c>
      <c r="D1315" s="6" t="s">
        <v>3742</v>
      </c>
      <c r="E1315" s="7" t="s">
        <v>3743</v>
      </c>
      <c r="F1315" s="5"/>
      <c r="G1315" s="5"/>
    </row>
    <row r="1316" spans="1:7" ht="126.6" thickBot="1">
      <c r="A1316" s="3">
        <v>1314</v>
      </c>
      <c r="B1316" s="3" t="s">
        <v>3413</v>
      </c>
      <c r="C1316" s="6" t="s">
        <v>3744</v>
      </c>
      <c r="D1316" s="6" t="s">
        <v>3745</v>
      </c>
      <c r="E1316" s="7" t="s">
        <v>3746</v>
      </c>
      <c r="F1316" s="5"/>
      <c r="G1316" s="5"/>
    </row>
    <row r="1317" spans="1:7" ht="112.8" thickBot="1">
      <c r="A1317" s="3">
        <v>1315</v>
      </c>
      <c r="B1317" s="3" t="s">
        <v>3413</v>
      </c>
      <c r="C1317" s="6" t="s">
        <v>3747</v>
      </c>
      <c r="D1317" s="6" t="s">
        <v>3682</v>
      </c>
      <c r="E1317" s="7" t="s">
        <v>3748</v>
      </c>
      <c r="F1317" s="5"/>
      <c r="G1317" s="5"/>
    </row>
    <row r="1318" spans="1:7" ht="112.8" thickBot="1">
      <c r="A1318" s="3">
        <v>1316</v>
      </c>
      <c r="B1318" s="3" t="s">
        <v>3413</v>
      </c>
      <c r="C1318" s="6" t="s">
        <v>441</v>
      </c>
      <c r="D1318" s="6" t="s">
        <v>3749</v>
      </c>
      <c r="E1318" s="7" t="s">
        <v>3750</v>
      </c>
      <c r="F1318" s="5"/>
      <c r="G1318" s="5"/>
    </row>
    <row r="1319" spans="1:7" ht="112.8" thickBot="1">
      <c r="A1319" s="3">
        <v>1317</v>
      </c>
      <c r="B1319" s="3" t="s">
        <v>3413</v>
      </c>
      <c r="C1319" s="6" t="s">
        <v>42</v>
      </c>
      <c r="D1319" s="6" t="s">
        <v>3751</v>
      </c>
      <c r="E1319" s="7" t="s">
        <v>3752</v>
      </c>
      <c r="F1319" s="5"/>
      <c r="G1319" s="5"/>
    </row>
    <row r="1320" spans="1:7" ht="112.8" thickBot="1">
      <c r="A1320" s="3">
        <v>1318</v>
      </c>
      <c r="B1320" s="3" t="s">
        <v>3413</v>
      </c>
      <c r="C1320" s="6" t="s">
        <v>3753</v>
      </c>
      <c r="D1320" s="6" t="s">
        <v>3754</v>
      </c>
      <c r="E1320" s="7" t="s">
        <v>3755</v>
      </c>
      <c r="F1320" s="5"/>
      <c r="G1320" s="5"/>
    </row>
    <row r="1321" spans="1:7" ht="112.8" thickBot="1">
      <c r="A1321" s="3">
        <v>1319</v>
      </c>
      <c r="B1321" s="3" t="s">
        <v>3413</v>
      </c>
      <c r="C1321" s="6" t="s">
        <v>3756</v>
      </c>
      <c r="D1321" s="6" t="s">
        <v>3757</v>
      </c>
      <c r="E1321" s="7" t="s">
        <v>3758</v>
      </c>
      <c r="F1321" s="5"/>
      <c r="G1321" s="5"/>
    </row>
    <row r="1322" spans="1:7" ht="140.4" thickBot="1">
      <c r="A1322" s="3">
        <v>1320</v>
      </c>
      <c r="B1322" s="3" t="s">
        <v>3413</v>
      </c>
      <c r="C1322" s="6" t="s">
        <v>579</v>
      </c>
      <c r="D1322" s="6" t="s">
        <v>3759</v>
      </c>
      <c r="E1322" s="7" t="s">
        <v>3760</v>
      </c>
      <c r="F1322" s="5"/>
      <c r="G1322" s="5"/>
    </row>
    <row r="1323" spans="1:7" ht="126.6" thickBot="1">
      <c r="A1323" s="3">
        <v>1321</v>
      </c>
      <c r="B1323" s="3" t="s">
        <v>3413</v>
      </c>
      <c r="C1323" s="6" t="s">
        <v>537</v>
      </c>
      <c r="D1323" s="6" t="s">
        <v>3761</v>
      </c>
      <c r="E1323" s="7" t="s">
        <v>3762</v>
      </c>
      <c r="F1323" s="5"/>
      <c r="G1323" s="5"/>
    </row>
    <row r="1324" spans="1:7" ht="112.8" thickBot="1">
      <c r="A1324" s="3">
        <v>1322</v>
      </c>
      <c r="B1324" s="3" t="s">
        <v>3413</v>
      </c>
      <c r="C1324" s="6" t="s">
        <v>591</v>
      </c>
      <c r="D1324" s="6" t="s">
        <v>3763</v>
      </c>
      <c r="E1324" s="7" t="s">
        <v>3764</v>
      </c>
      <c r="F1324" s="5"/>
      <c r="G1324" s="5"/>
    </row>
    <row r="1325" spans="1:7" ht="140.4" thickBot="1">
      <c r="A1325" s="3">
        <v>1323</v>
      </c>
      <c r="B1325" s="3" t="s">
        <v>3413</v>
      </c>
      <c r="C1325" s="6" t="s">
        <v>585</v>
      </c>
      <c r="D1325" s="6" t="s">
        <v>3765</v>
      </c>
      <c r="E1325" s="7" t="s">
        <v>3766</v>
      </c>
      <c r="F1325" s="5"/>
      <c r="G1325" s="5"/>
    </row>
    <row r="1326" spans="1:7" ht="126.6" thickBot="1">
      <c r="A1326" s="3">
        <v>1324</v>
      </c>
      <c r="B1326" s="3" t="s">
        <v>3413</v>
      </c>
      <c r="C1326" s="6" t="s">
        <v>3767</v>
      </c>
      <c r="D1326" s="6" t="s">
        <v>3768</v>
      </c>
      <c r="E1326" s="7" t="s">
        <v>3769</v>
      </c>
      <c r="F1326" s="5"/>
      <c r="G1326" s="5"/>
    </row>
    <row r="1327" spans="1:7" ht="112.8" thickBot="1">
      <c r="A1327" s="3">
        <v>1325</v>
      </c>
      <c r="B1327" s="3" t="s">
        <v>3413</v>
      </c>
      <c r="C1327" s="6" t="s">
        <v>3770</v>
      </c>
      <c r="D1327" s="6" t="s">
        <v>3429</v>
      </c>
      <c r="E1327" s="7" t="s">
        <v>3771</v>
      </c>
      <c r="F1327" s="5"/>
      <c r="G1327" s="5"/>
    </row>
    <row r="1328" spans="1:7" ht="126.6" thickBot="1">
      <c r="A1328" s="3">
        <v>1326</v>
      </c>
      <c r="B1328" s="3" t="s">
        <v>3413</v>
      </c>
      <c r="C1328" s="6" t="s">
        <v>3772</v>
      </c>
      <c r="D1328" s="6" t="s">
        <v>3773</v>
      </c>
      <c r="E1328" s="7" t="s">
        <v>3774</v>
      </c>
      <c r="F1328" s="5"/>
      <c r="G1328" s="5"/>
    </row>
    <row r="1329" spans="1:7" ht="112.8" thickBot="1">
      <c r="A1329" s="3">
        <v>1327</v>
      </c>
      <c r="B1329" s="3" t="s">
        <v>3413</v>
      </c>
      <c r="C1329" s="6" t="s">
        <v>102</v>
      </c>
      <c r="D1329" s="6" t="s">
        <v>3449</v>
      </c>
      <c r="E1329" s="7" t="s">
        <v>3775</v>
      </c>
      <c r="F1329" s="5"/>
      <c r="G1329" s="5"/>
    </row>
    <row r="1330" spans="1:7" ht="112.8" thickBot="1">
      <c r="A1330" s="3">
        <v>1328</v>
      </c>
      <c r="B1330" s="3" t="s">
        <v>3413</v>
      </c>
      <c r="C1330" s="6" t="s">
        <v>5</v>
      </c>
      <c r="D1330" s="6" t="s">
        <v>3776</v>
      </c>
      <c r="E1330" s="7" t="s">
        <v>3777</v>
      </c>
      <c r="F1330" s="5"/>
      <c r="G1330" s="5"/>
    </row>
    <row r="1331" spans="1:7" ht="126.6" thickBot="1">
      <c r="A1331" s="3">
        <v>1329</v>
      </c>
      <c r="B1331" s="3" t="s">
        <v>3413</v>
      </c>
      <c r="C1331" s="6" t="s">
        <v>3778</v>
      </c>
      <c r="D1331" s="6" t="s">
        <v>3779</v>
      </c>
      <c r="E1331" s="7" t="s">
        <v>3780</v>
      </c>
      <c r="F1331" s="5"/>
      <c r="G1331" s="5"/>
    </row>
    <row r="1332" spans="1:7" ht="112.8" thickBot="1">
      <c r="A1332" s="3">
        <v>1330</v>
      </c>
      <c r="B1332" s="3" t="s">
        <v>3413</v>
      </c>
      <c r="C1332" s="6" t="s">
        <v>3781</v>
      </c>
      <c r="D1332" s="6" t="s">
        <v>3782</v>
      </c>
      <c r="E1332" s="7" t="s">
        <v>3783</v>
      </c>
      <c r="F1332" s="5"/>
      <c r="G1332" s="5"/>
    </row>
    <row r="1333" spans="1:7" ht="112.8" thickBot="1">
      <c r="A1333" s="3">
        <v>1331</v>
      </c>
      <c r="B1333" s="3" t="s">
        <v>3413</v>
      </c>
      <c r="C1333" s="6" t="s">
        <v>650</v>
      </c>
      <c r="D1333" s="6" t="s">
        <v>3655</v>
      </c>
      <c r="E1333" s="7" t="s">
        <v>3784</v>
      </c>
      <c r="F1333" s="5"/>
      <c r="G1333" s="5"/>
    </row>
    <row r="1334" spans="1:7" ht="112.8" thickBot="1">
      <c r="A1334" s="3">
        <v>1332</v>
      </c>
      <c r="B1334" s="3" t="s">
        <v>3413</v>
      </c>
      <c r="C1334" s="6" t="s">
        <v>208</v>
      </c>
      <c r="D1334" s="6" t="s">
        <v>3785</v>
      </c>
      <c r="E1334" s="7" t="s">
        <v>3786</v>
      </c>
      <c r="F1334" s="5"/>
      <c r="G1334" s="5"/>
    </row>
    <row r="1335" spans="1:7" ht="112.8" thickBot="1">
      <c r="A1335" s="3">
        <v>1333</v>
      </c>
      <c r="B1335" s="3" t="s">
        <v>3413</v>
      </c>
      <c r="C1335" s="6" t="s">
        <v>3787</v>
      </c>
      <c r="D1335" s="6" t="s">
        <v>3682</v>
      </c>
      <c r="E1335" s="7" t="s">
        <v>3788</v>
      </c>
      <c r="F1335" s="5"/>
      <c r="G1335" s="5"/>
    </row>
    <row r="1336" spans="1:7" ht="112.8" thickBot="1">
      <c r="A1336" s="3">
        <v>1334</v>
      </c>
      <c r="B1336" s="3" t="s">
        <v>3413</v>
      </c>
      <c r="C1336" s="6" t="s">
        <v>309</v>
      </c>
      <c r="D1336" s="6" t="s">
        <v>3789</v>
      </c>
      <c r="E1336" s="7" t="s">
        <v>3790</v>
      </c>
      <c r="F1336" s="5"/>
      <c r="G1336" s="5"/>
    </row>
    <row r="1337" spans="1:7" ht="126.6" thickBot="1">
      <c r="A1337" s="3">
        <v>1335</v>
      </c>
      <c r="B1337" s="3" t="s">
        <v>3413</v>
      </c>
      <c r="C1337" s="6" t="s">
        <v>3791</v>
      </c>
      <c r="D1337" s="6" t="s">
        <v>3792</v>
      </c>
      <c r="E1337" s="7" t="s">
        <v>3793</v>
      </c>
      <c r="F1337" s="5"/>
      <c r="G1337" s="5"/>
    </row>
    <row r="1338" spans="1:7" ht="112.8" thickBot="1">
      <c r="A1338" s="3">
        <v>1336</v>
      </c>
      <c r="B1338" s="3" t="s">
        <v>3413</v>
      </c>
      <c r="C1338" s="6" t="s">
        <v>3794</v>
      </c>
      <c r="D1338" s="6" t="s">
        <v>3795</v>
      </c>
      <c r="E1338" s="7" t="s">
        <v>3796</v>
      </c>
      <c r="F1338" s="5"/>
      <c r="G1338" s="5"/>
    </row>
    <row r="1339" spans="1:7" ht="112.8" thickBot="1">
      <c r="A1339" s="3">
        <v>1337</v>
      </c>
      <c r="B1339" s="3" t="s">
        <v>3413</v>
      </c>
      <c r="C1339" s="6" t="s">
        <v>341</v>
      </c>
      <c r="D1339" s="6" t="s">
        <v>3797</v>
      </c>
      <c r="E1339" s="7" t="s">
        <v>3798</v>
      </c>
      <c r="F1339" s="5"/>
      <c r="G1339" s="5"/>
    </row>
    <row r="1340" spans="1:7" ht="126.6" thickBot="1">
      <c r="A1340" s="3">
        <v>1338</v>
      </c>
      <c r="B1340" s="3" t="s">
        <v>3413</v>
      </c>
      <c r="C1340" s="6" t="s">
        <v>3799</v>
      </c>
      <c r="D1340" s="6" t="s">
        <v>3800</v>
      </c>
      <c r="E1340" s="7" t="s">
        <v>3801</v>
      </c>
      <c r="F1340" s="5"/>
      <c r="G1340" s="5"/>
    </row>
    <row r="1341" spans="1:7" ht="112.8" thickBot="1">
      <c r="A1341" s="3">
        <v>1339</v>
      </c>
      <c r="B1341" s="3" t="s">
        <v>3413</v>
      </c>
      <c r="C1341" s="6" t="s">
        <v>369</v>
      </c>
      <c r="D1341" s="6" t="s">
        <v>3419</v>
      </c>
      <c r="E1341" s="7" t="s">
        <v>3802</v>
      </c>
      <c r="F1341" s="5"/>
      <c r="G1341" s="5"/>
    </row>
    <row r="1342" spans="1:7" ht="140.4" thickBot="1">
      <c r="A1342" s="3">
        <v>1340</v>
      </c>
      <c r="B1342" s="3" t="s">
        <v>3413</v>
      </c>
      <c r="C1342" s="6" t="s">
        <v>411</v>
      </c>
      <c r="D1342" s="6" t="s">
        <v>3803</v>
      </c>
      <c r="E1342" s="7" t="s">
        <v>3804</v>
      </c>
      <c r="F1342" s="5"/>
      <c r="G1342" s="5"/>
    </row>
    <row r="1343" spans="1:7" ht="126.6" thickBot="1">
      <c r="A1343" s="3">
        <v>1341</v>
      </c>
      <c r="B1343" s="3" t="s">
        <v>3413</v>
      </c>
      <c r="C1343" s="6" t="s">
        <v>90</v>
      </c>
      <c r="D1343" s="6" t="s">
        <v>3805</v>
      </c>
      <c r="E1343" s="7" t="s">
        <v>3806</v>
      </c>
      <c r="F1343" s="5"/>
      <c r="G1343" s="5"/>
    </row>
    <row r="1344" spans="1:7" ht="112.8" thickBot="1">
      <c r="A1344" s="3">
        <v>1342</v>
      </c>
      <c r="B1344" s="3" t="s">
        <v>3413</v>
      </c>
      <c r="C1344" s="6" t="s">
        <v>488</v>
      </c>
      <c r="D1344" s="6" t="s">
        <v>3807</v>
      </c>
      <c r="E1344" s="7" t="s">
        <v>3808</v>
      </c>
      <c r="F1344" s="5"/>
      <c r="G1344" s="5"/>
    </row>
    <row r="1345" spans="1:7" ht="126.6" thickBot="1">
      <c r="A1345" s="3">
        <v>1343</v>
      </c>
      <c r="B1345" s="3" t="s">
        <v>3413</v>
      </c>
      <c r="C1345" s="6" t="s">
        <v>480</v>
      </c>
      <c r="D1345" s="6" t="s">
        <v>3809</v>
      </c>
      <c r="E1345" s="7" t="s">
        <v>3810</v>
      </c>
      <c r="F1345" s="5"/>
      <c r="G1345" s="5"/>
    </row>
    <row r="1346" spans="1:7" ht="112.8" thickBot="1">
      <c r="A1346" s="3">
        <v>1344</v>
      </c>
      <c r="B1346" s="3" t="s">
        <v>3413</v>
      </c>
      <c r="C1346" s="6" t="s">
        <v>3811</v>
      </c>
      <c r="D1346" s="6" t="s">
        <v>3429</v>
      </c>
      <c r="E1346" s="7" t="s">
        <v>3812</v>
      </c>
      <c r="F1346" s="5"/>
      <c r="G1346" s="5"/>
    </row>
    <row r="1347" spans="1:7" ht="126.6" thickBot="1">
      <c r="A1347" s="3">
        <v>1345</v>
      </c>
      <c r="B1347" s="3" t="s">
        <v>3413</v>
      </c>
      <c r="C1347" s="6" t="s">
        <v>17</v>
      </c>
      <c r="D1347" s="6" t="s">
        <v>3813</v>
      </c>
      <c r="E1347" s="7" t="s">
        <v>3814</v>
      </c>
      <c r="F1347" s="5"/>
      <c r="G1347" s="5"/>
    </row>
    <row r="1348" spans="1:7" ht="126.6" thickBot="1">
      <c r="A1348" s="3">
        <v>1346</v>
      </c>
      <c r="B1348" s="3" t="s">
        <v>3413</v>
      </c>
      <c r="C1348" s="6" t="s">
        <v>112</v>
      </c>
      <c r="D1348" s="6" t="s">
        <v>3815</v>
      </c>
      <c r="E1348" s="7" t="s">
        <v>3816</v>
      </c>
      <c r="F1348" s="5"/>
      <c r="G1348" s="5"/>
    </row>
    <row r="1349" spans="1:7" ht="126.6" thickBot="1">
      <c r="A1349" s="3">
        <v>1347</v>
      </c>
      <c r="B1349" s="3" t="s">
        <v>3413</v>
      </c>
      <c r="C1349" s="6" t="s">
        <v>75</v>
      </c>
      <c r="D1349" s="6" t="s">
        <v>3817</v>
      </c>
      <c r="E1349" s="7" t="s">
        <v>3818</v>
      </c>
      <c r="F1349" s="5"/>
      <c r="G1349" s="5"/>
    </row>
    <row r="1350" spans="1:7" ht="126.6" thickBot="1">
      <c r="A1350" s="3">
        <v>1348</v>
      </c>
      <c r="B1350" s="3" t="s">
        <v>3413</v>
      </c>
      <c r="C1350" s="6" t="s">
        <v>471</v>
      </c>
      <c r="D1350" s="6" t="s">
        <v>3819</v>
      </c>
      <c r="E1350" s="7" t="s">
        <v>3820</v>
      </c>
      <c r="F1350" s="5"/>
      <c r="G1350" s="5"/>
    </row>
    <row r="1351" spans="1:7" ht="126.6" thickBot="1">
      <c r="A1351" s="3">
        <v>1349</v>
      </c>
      <c r="B1351" s="3" t="s">
        <v>3413</v>
      </c>
      <c r="C1351" s="6" t="s">
        <v>631</v>
      </c>
      <c r="D1351" s="6" t="s">
        <v>3821</v>
      </c>
      <c r="E1351" s="7" t="s">
        <v>3822</v>
      </c>
      <c r="F1351" s="5"/>
      <c r="G1351" s="5"/>
    </row>
    <row r="1352" spans="1:7" ht="112.8" thickBot="1">
      <c r="A1352" s="3">
        <v>1350</v>
      </c>
      <c r="B1352" s="3" t="s">
        <v>3413</v>
      </c>
      <c r="C1352" s="6" t="s">
        <v>3823</v>
      </c>
      <c r="D1352" s="6" t="s">
        <v>3532</v>
      </c>
      <c r="E1352" s="7" t="s">
        <v>3824</v>
      </c>
      <c r="F1352" s="5"/>
      <c r="G1352" s="5"/>
    </row>
    <row r="1353" spans="1:7" ht="112.8" thickBot="1">
      <c r="A1353" s="3">
        <v>1351</v>
      </c>
      <c r="B1353" s="3" t="s">
        <v>3413</v>
      </c>
      <c r="C1353" s="6" t="s">
        <v>3825</v>
      </c>
      <c r="D1353" s="6" t="s">
        <v>3826</v>
      </c>
      <c r="E1353" s="7" t="s">
        <v>3827</v>
      </c>
      <c r="F1353" s="5"/>
      <c r="G1353" s="5"/>
    </row>
    <row r="1354" spans="1:7" ht="140.4" thickBot="1">
      <c r="A1354" s="3">
        <v>1352</v>
      </c>
      <c r="B1354" s="3" t="s">
        <v>3413</v>
      </c>
      <c r="C1354" s="6" t="s">
        <v>588</v>
      </c>
      <c r="D1354" s="6" t="s">
        <v>3828</v>
      </c>
      <c r="E1354" s="7" t="s">
        <v>3829</v>
      </c>
      <c r="F1354" s="5"/>
      <c r="G1354" s="5"/>
    </row>
    <row r="1355" spans="1:7" ht="112.8" thickBot="1">
      <c r="A1355" s="3">
        <v>1353</v>
      </c>
      <c r="B1355" s="3" t="s">
        <v>3413</v>
      </c>
      <c r="C1355" s="6" t="s">
        <v>3830</v>
      </c>
      <c r="D1355" s="6" t="s">
        <v>3429</v>
      </c>
      <c r="E1355" s="7" t="s">
        <v>3831</v>
      </c>
      <c r="F1355" s="5"/>
      <c r="G1355" s="5"/>
    </row>
    <row r="1356" spans="1:7" ht="112.8" thickBot="1">
      <c r="A1356" s="3">
        <v>1354</v>
      </c>
      <c r="B1356" s="3" t="s">
        <v>3413</v>
      </c>
      <c r="C1356" s="6" t="s">
        <v>3832</v>
      </c>
      <c r="D1356" s="6" t="s">
        <v>3833</v>
      </c>
      <c r="E1356" s="7" t="s">
        <v>3834</v>
      </c>
      <c r="F1356" s="5"/>
      <c r="G1356" s="5"/>
    </row>
    <row r="1357" spans="1:7" ht="112.8" thickBot="1">
      <c r="A1357" s="3">
        <v>1355</v>
      </c>
      <c r="B1357" s="3" t="s">
        <v>3413</v>
      </c>
      <c r="C1357" s="6" t="s">
        <v>3835</v>
      </c>
      <c r="D1357" s="6" t="s">
        <v>3836</v>
      </c>
      <c r="E1357" s="7" t="s">
        <v>3837</v>
      </c>
      <c r="F1357" s="5"/>
      <c r="G1357" s="5"/>
    </row>
    <row r="1358" spans="1:7" ht="112.8" thickBot="1">
      <c r="A1358" s="3">
        <v>1356</v>
      </c>
      <c r="B1358" s="3" t="s">
        <v>3413</v>
      </c>
      <c r="C1358" s="6" t="s">
        <v>3838</v>
      </c>
      <c r="D1358" s="6" t="s">
        <v>3635</v>
      </c>
      <c r="E1358" s="7" t="s">
        <v>3636</v>
      </c>
      <c r="F1358" s="5"/>
      <c r="G1358" s="5"/>
    </row>
    <row r="1359" spans="1:7" ht="126.6" thickBot="1">
      <c r="A1359" s="3">
        <v>1357</v>
      </c>
      <c r="B1359" s="3" t="s">
        <v>3413</v>
      </c>
      <c r="C1359" s="6" t="s">
        <v>3839</v>
      </c>
      <c r="D1359" s="6" t="s">
        <v>3840</v>
      </c>
      <c r="E1359" s="7" t="s">
        <v>3841</v>
      </c>
      <c r="F1359" s="5"/>
      <c r="G1359" s="5"/>
    </row>
    <row r="1360" spans="1:7" ht="112.8" thickBot="1">
      <c r="A1360" s="3">
        <v>1358</v>
      </c>
      <c r="B1360" s="3" t="s">
        <v>3413</v>
      </c>
      <c r="C1360" s="6" t="s">
        <v>3842</v>
      </c>
      <c r="D1360" s="6" t="s">
        <v>3682</v>
      </c>
      <c r="E1360" s="7" t="s">
        <v>3843</v>
      </c>
      <c r="F1360" s="5"/>
      <c r="G1360" s="5"/>
    </row>
    <row r="1361" spans="1:7" ht="126.6" thickBot="1">
      <c r="A1361" s="3">
        <v>1359</v>
      </c>
      <c r="B1361" s="3" t="s">
        <v>3413</v>
      </c>
      <c r="C1361" s="6" t="s">
        <v>3844</v>
      </c>
      <c r="D1361" s="6" t="s">
        <v>3845</v>
      </c>
      <c r="E1361" s="7" t="s">
        <v>3846</v>
      </c>
      <c r="F1361" s="5"/>
      <c r="G1361" s="5"/>
    </row>
    <row r="1362" spans="1:7" ht="112.8" thickBot="1">
      <c r="A1362" s="3">
        <v>1360</v>
      </c>
      <c r="B1362" s="3" t="s">
        <v>3413</v>
      </c>
      <c r="C1362" s="6" t="s">
        <v>502</v>
      </c>
      <c r="D1362" s="6" t="s">
        <v>3419</v>
      </c>
      <c r="E1362" s="7" t="s">
        <v>3847</v>
      </c>
      <c r="F1362" s="5"/>
      <c r="G1362" s="5"/>
    </row>
    <row r="1363" spans="1:7" ht="126.6" thickBot="1">
      <c r="A1363" s="3">
        <v>1361</v>
      </c>
      <c r="B1363" s="3" t="s">
        <v>3413</v>
      </c>
      <c r="C1363" s="6" t="s">
        <v>139</v>
      </c>
      <c r="D1363" s="6" t="s">
        <v>3848</v>
      </c>
      <c r="E1363" s="7" t="s">
        <v>3849</v>
      </c>
      <c r="F1363" s="5"/>
      <c r="G1363" s="5"/>
    </row>
  </sheetData>
  <phoneticPr fontId="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04DA2-9A50-428A-8C55-6857D0869924}">
  <sheetPr codeName="Sheet2"/>
  <dimension ref="B1:X23"/>
  <sheetViews>
    <sheetView tabSelected="1" workbookViewId="0">
      <selection activeCell="M8" sqref="M8"/>
    </sheetView>
  </sheetViews>
  <sheetFormatPr defaultRowHeight="17.399999999999999"/>
  <cols>
    <col min="1" max="1" width="5.296875" style="8" customWidth="1"/>
    <col min="2" max="9" width="8.796875" style="8"/>
    <col min="10" max="10" width="5.296875" style="8" customWidth="1"/>
    <col min="11" max="11" width="9.8984375" style="8" bestFit="1" customWidth="1"/>
    <col min="12" max="12" width="10" style="8" bestFit="1" customWidth="1"/>
    <col min="13" max="13" width="13.3984375" style="8" customWidth="1"/>
    <col min="14" max="14" width="1.796875" style="14" customWidth="1"/>
    <col min="15" max="15" width="8.296875" style="8" bestFit="1" customWidth="1"/>
    <col min="16" max="16" width="11.8984375" style="8" customWidth="1"/>
    <col min="17" max="17" width="7.8984375" style="8" bestFit="1" customWidth="1"/>
    <col min="18" max="18" width="21.09765625" style="8" customWidth="1"/>
    <col min="19" max="19" width="7.296875" style="8" bestFit="1" customWidth="1"/>
    <col min="20" max="20" width="13.59765625" style="8" bestFit="1" customWidth="1"/>
    <col min="21" max="21" width="8.5" style="8" bestFit="1" customWidth="1"/>
    <col min="22" max="22" width="14" style="8" bestFit="1" customWidth="1"/>
    <col min="23" max="16384" width="8.796875" style="8"/>
  </cols>
  <sheetData>
    <row r="1" spans="2:24">
      <c r="O1" s="11" t="s">
        <v>1581</v>
      </c>
      <c r="P1" s="8" t="str">
        <f>ADDRESS(2+Sheet3!L2,3,1,1,"DataBase")</f>
        <v>DataBase!$C$243</v>
      </c>
      <c r="Q1" s="11" t="s">
        <v>1598</v>
      </c>
      <c r="R1" s="8" t="str" cm="1">
        <f t="array" aca="1" ref="R1" ca="1">INDIRECT(P1)</f>
        <v>플뢰레(Fleuret)는 몸통을 표적으로 하는 찌르기형 경량 무기로, 등도 유효한 표적이나, 팔은 유효한 표적이 아니다.</v>
      </c>
    </row>
    <row r="2" spans="2:24">
      <c r="B2" s="31" t="s">
        <v>1572</v>
      </c>
      <c r="C2" s="31"/>
      <c r="D2" s="31"/>
      <c r="E2" s="31"/>
      <c r="F2" s="31"/>
      <c r="G2" s="31"/>
      <c r="H2" s="31"/>
      <c r="I2" s="31"/>
      <c r="K2" s="10" t="s">
        <v>1573</v>
      </c>
      <c r="L2" s="29">
        <v>241</v>
      </c>
      <c r="O2" s="8" t="s">
        <v>3864</v>
      </c>
      <c r="P2" s="30" t="str">
        <f>ADDRESS(2+Sheet3!L2,2,1,1,"DataBase")</f>
        <v>DataBase!$B$243</v>
      </c>
    </row>
    <row r="3" spans="2:24" ht="17.399999999999999" customHeight="1">
      <c r="B3" s="39" t="s">
        <v>3861</v>
      </c>
      <c r="C3" s="35"/>
      <c r="D3" s="35"/>
      <c r="E3" s="35"/>
      <c r="F3" s="35"/>
      <c r="G3" s="35"/>
      <c r="H3" s="35"/>
      <c r="I3" s="35"/>
      <c r="K3" s="10" t="s">
        <v>1574</v>
      </c>
      <c r="L3" s="8" t="str" cm="1">
        <f t="array" aca="1" ref="L3" ca="1">INDIRECT(P2)</f>
        <v>minseong</v>
      </c>
      <c r="O3" s="11" t="s">
        <v>1582</v>
      </c>
      <c r="P3" s="8" t="str">
        <f>ADDRESS(2+Sheet3!L2,4,1,1,"DataBase")</f>
        <v>DataBase!$D$243</v>
      </c>
      <c r="Q3" s="11" t="s">
        <v>1583</v>
      </c>
      <c r="R3" s="8" t="str">
        <f>ADDRESS(2+Sheet3!L2,5,1,1,"DataBase")</f>
        <v>DataBase!$E$243</v>
      </c>
      <c r="S3" s="11" t="s">
        <v>1585</v>
      </c>
      <c r="T3" s="8" t="str">
        <f>ADDRESS(2+Sheet3!L2,6,4,1)</f>
        <v>F243</v>
      </c>
      <c r="U3" s="8" t="e">
        <f>INDEX(T5:T16,MATCH(L15,S5:S16,0))</f>
        <v>#N/A</v>
      </c>
    </row>
    <row r="4" spans="2:24">
      <c r="B4" s="35"/>
      <c r="C4" s="35"/>
      <c r="D4" s="35"/>
      <c r="E4" s="35"/>
      <c r="F4" s="35"/>
      <c r="G4" s="35"/>
      <c r="H4" s="35"/>
      <c r="I4" s="35"/>
      <c r="O4" s="8" t="s">
        <v>1580</v>
      </c>
      <c r="P4" s="8" t="str" cm="1">
        <f t="array" aca="1" ref="P4" ca="1">INDIRECT(P3)</f>
        <v>{'word': '플뢰레', 'start_idx': 0, 'end_idx': 2, 'type': 'EQP'}</v>
      </c>
      <c r="Q4" s="8" t="s">
        <v>1586</v>
      </c>
      <c r="R4" s="8" t="str" cm="1">
        <f t="array" aca="1" ref="R4" ca="1">INDIRECT(R3)</f>
        <v>{'word': '찌르기', 'start_idx': 26, 'end_idx': 28, 'type': 'POH'}</v>
      </c>
      <c r="S4" s="8" t="s">
        <v>1587</v>
      </c>
      <c r="T4" s="8" cm="1">
        <f t="array" aca="1" ref="T4" ca="1">INDIRECT(T3)</f>
        <v>0</v>
      </c>
      <c r="V4" s="8" t="s">
        <v>1631</v>
      </c>
      <c r="W4" s="8" t="s">
        <v>1632</v>
      </c>
      <c r="X4" s="8" t="s">
        <v>1633</v>
      </c>
    </row>
    <row r="5" spans="2:24">
      <c r="B5" s="35"/>
      <c r="C5" s="35"/>
      <c r="D5" s="35"/>
      <c r="E5" s="35"/>
      <c r="F5" s="35"/>
      <c r="G5" s="35"/>
      <c r="H5" s="35"/>
      <c r="I5" s="35"/>
      <c r="J5" s="32" t="s">
        <v>1597</v>
      </c>
      <c r="K5" s="10" t="s">
        <v>1575</v>
      </c>
      <c r="L5" s="12" t="s">
        <v>1576</v>
      </c>
      <c r="M5" s="29" t="s">
        <v>3862</v>
      </c>
      <c r="O5" s="8" t="s">
        <v>1588</v>
      </c>
      <c r="P5" s="8">
        <v>11</v>
      </c>
      <c r="Q5" s="8" t="s">
        <v>1588</v>
      </c>
      <c r="R5" s="8">
        <v>11</v>
      </c>
      <c r="S5" s="20">
        <v>1</v>
      </c>
      <c r="T5" s="22" t="s">
        <v>1612</v>
      </c>
      <c r="V5" s="8" t="s">
        <v>1634</v>
      </c>
      <c r="W5" s="8" t="s">
        <v>1635</v>
      </c>
      <c r="X5" s="8" t="s">
        <v>1638</v>
      </c>
    </row>
    <row r="6" spans="2:24">
      <c r="B6" s="35"/>
      <c r="C6" s="35"/>
      <c r="D6" s="35"/>
      <c r="E6" s="35"/>
      <c r="F6" s="35"/>
      <c r="G6" s="35"/>
      <c r="H6" s="35"/>
      <c r="I6" s="35"/>
      <c r="J6" s="32"/>
      <c r="L6" s="12" t="s">
        <v>1577</v>
      </c>
      <c r="M6" s="29">
        <v>0</v>
      </c>
      <c r="O6" s="8" t="s">
        <v>1589</v>
      </c>
      <c r="P6" s="8">
        <f ca="1">FIND("', 'start_idx",P4,1)</f>
        <v>14</v>
      </c>
      <c r="Q6" s="8" t="s">
        <v>1589</v>
      </c>
      <c r="R6" s="8">
        <f ca="1">FIND("', 'start_idx",R4,1)</f>
        <v>14</v>
      </c>
      <c r="S6" s="20">
        <v>2</v>
      </c>
      <c r="T6" s="22" t="s">
        <v>1613</v>
      </c>
      <c r="V6" s="8" t="s">
        <v>1634</v>
      </c>
      <c r="W6" s="8" t="s">
        <v>1636</v>
      </c>
      <c r="X6" s="8" t="s">
        <v>1639</v>
      </c>
    </row>
    <row r="7" spans="2:24">
      <c r="B7" s="35"/>
      <c r="C7" s="35"/>
      <c r="D7" s="35"/>
      <c r="E7" s="35"/>
      <c r="F7" s="35"/>
      <c r="G7" s="35"/>
      <c r="H7" s="35"/>
      <c r="I7" s="35"/>
      <c r="J7" s="32"/>
      <c r="L7" s="12" t="s">
        <v>1578</v>
      </c>
      <c r="M7" s="29">
        <v>2</v>
      </c>
      <c r="O7" s="8" t="s">
        <v>1590</v>
      </c>
      <c r="P7" s="8">
        <f ca="1">P6-P5</f>
        <v>3</v>
      </c>
      <c r="Q7" s="8" t="s">
        <v>1590</v>
      </c>
      <c r="R7" s="8">
        <f ca="1">R6-R5</f>
        <v>3</v>
      </c>
      <c r="S7" s="20">
        <v>3</v>
      </c>
      <c r="T7" s="22" t="s">
        <v>1614</v>
      </c>
      <c r="V7" s="8" t="s">
        <v>1634</v>
      </c>
      <c r="W7" s="8" t="s">
        <v>1636</v>
      </c>
      <c r="X7" s="8" t="s">
        <v>1640</v>
      </c>
    </row>
    <row r="8" spans="2:24">
      <c r="B8" s="35"/>
      <c r="C8" s="35"/>
      <c r="D8" s="35"/>
      <c r="E8" s="35"/>
      <c r="F8" s="35"/>
      <c r="G8" s="35"/>
      <c r="H8" s="35"/>
      <c r="I8" s="35"/>
      <c r="J8" s="32"/>
      <c r="L8" s="13" t="s">
        <v>1579</v>
      </c>
      <c r="M8" s="29" t="s">
        <v>1653</v>
      </c>
      <c r="O8" s="15" t="s">
        <v>1576</v>
      </c>
      <c r="P8" s="8" t="str">
        <f ca="1">MID(P4,P5,P7)</f>
        <v>플뢰레</v>
      </c>
      <c r="Q8" s="15" t="s">
        <v>1576</v>
      </c>
      <c r="R8" s="8" t="str">
        <f ca="1">MID(R4,R5,R7)</f>
        <v>찌르기</v>
      </c>
      <c r="S8" s="20">
        <v>4</v>
      </c>
      <c r="T8" s="22" t="s">
        <v>1615</v>
      </c>
      <c r="V8" s="8" t="s">
        <v>1634</v>
      </c>
      <c r="W8" s="8" t="s">
        <v>1635</v>
      </c>
      <c r="X8" s="8" t="s">
        <v>1641</v>
      </c>
    </row>
    <row r="9" spans="2:24">
      <c r="B9" s="35"/>
      <c r="C9" s="35"/>
      <c r="D9" s="35"/>
      <c r="E9" s="35"/>
      <c r="F9" s="35"/>
      <c r="G9" s="35"/>
      <c r="H9" s="35"/>
      <c r="I9" s="35"/>
      <c r="J9" s="32"/>
      <c r="O9" s="8" t="s">
        <v>1592</v>
      </c>
      <c r="P9" s="8">
        <f ca="1">FIND("x': ",P4,1)+LEN("x': ")</f>
        <v>30</v>
      </c>
      <c r="Q9" s="8" t="s">
        <v>1592</v>
      </c>
      <c r="R9" s="8">
        <f ca="1">FIND("x': ",R4,1)+LEN("x': ")</f>
        <v>30</v>
      </c>
      <c r="S9" s="20">
        <v>5</v>
      </c>
      <c r="T9" s="22" t="s">
        <v>1616</v>
      </c>
      <c r="V9" s="8" t="s">
        <v>1634</v>
      </c>
      <c r="W9" s="8" t="s">
        <v>1637</v>
      </c>
      <c r="X9" s="8" t="s">
        <v>1642</v>
      </c>
    </row>
    <row r="10" spans="2:24">
      <c r="B10" s="35"/>
      <c r="C10" s="35"/>
      <c r="D10" s="35"/>
      <c r="E10" s="35"/>
      <c r="F10" s="35"/>
      <c r="G10" s="35"/>
      <c r="H10" s="35"/>
      <c r="I10" s="35"/>
      <c r="J10" s="32"/>
      <c r="K10" s="10" t="s">
        <v>1596</v>
      </c>
      <c r="L10" s="12" t="s">
        <v>1576</v>
      </c>
      <c r="M10" s="29" t="s">
        <v>3863</v>
      </c>
      <c r="O10" s="8" t="s">
        <v>1591</v>
      </c>
      <c r="P10" s="8">
        <f ca="1">FIND(", 'e",P4,1)</f>
        <v>31</v>
      </c>
      <c r="Q10" s="8" t="s">
        <v>1591</v>
      </c>
      <c r="R10" s="8">
        <f ca="1">FIND(", 'e",R4,1)</f>
        <v>32</v>
      </c>
      <c r="S10" s="20">
        <v>6</v>
      </c>
      <c r="T10" s="22" t="s">
        <v>1617</v>
      </c>
      <c r="V10" s="8" t="s">
        <v>1634</v>
      </c>
      <c r="W10" s="8" t="s">
        <v>1635</v>
      </c>
      <c r="X10" s="8" t="s">
        <v>1643</v>
      </c>
    </row>
    <row r="11" spans="2:24">
      <c r="B11" s="35"/>
      <c r="C11" s="35"/>
      <c r="D11" s="35"/>
      <c r="E11" s="35"/>
      <c r="F11" s="35"/>
      <c r="G11" s="35"/>
      <c r="H11" s="35"/>
      <c r="I11" s="35"/>
      <c r="J11" s="32"/>
      <c r="L11" s="12" t="s">
        <v>1577</v>
      </c>
      <c r="M11" s="29">
        <v>26</v>
      </c>
      <c r="O11" s="8" t="s">
        <v>1593</v>
      </c>
      <c r="P11" s="8">
        <f ca="1">P10-P9</f>
        <v>1</v>
      </c>
      <c r="Q11" s="8" t="s">
        <v>1593</v>
      </c>
      <c r="R11" s="8">
        <f ca="1">R10-R9</f>
        <v>2</v>
      </c>
      <c r="S11" s="20">
        <v>7</v>
      </c>
      <c r="T11" s="22" t="s">
        <v>1618</v>
      </c>
      <c r="V11" s="8" t="s">
        <v>1634</v>
      </c>
      <c r="W11" s="8" t="s">
        <v>1636</v>
      </c>
      <c r="X11" s="8" t="s">
        <v>1644</v>
      </c>
    </row>
    <row r="12" spans="2:24">
      <c r="B12" s="28" t="s">
        <v>1630</v>
      </c>
      <c r="C12" s="36" t="e">
        <f>_xlfn.CONCAT(P18,M5,P19,M10,P20)</f>
        <v>#N/A</v>
      </c>
      <c r="D12" s="36"/>
      <c r="E12" s="36"/>
      <c r="F12" s="36"/>
      <c r="G12" s="36"/>
      <c r="H12" s="36"/>
      <c r="I12" s="36"/>
      <c r="J12" s="32"/>
      <c r="L12" s="12" t="s">
        <v>1578</v>
      </c>
      <c r="M12" s="29">
        <v>28</v>
      </c>
      <c r="O12" s="10" t="s">
        <v>1577</v>
      </c>
      <c r="P12" s="8" t="str">
        <f ca="1">MID(P4,P9,P11)</f>
        <v>0</v>
      </c>
      <c r="Q12" s="10" t="s">
        <v>1577</v>
      </c>
      <c r="R12" s="8" t="str">
        <f ca="1">MID(R4,R9,R11)</f>
        <v>26</v>
      </c>
      <c r="S12" s="20">
        <v>8</v>
      </c>
      <c r="T12" s="22" t="s">
        <v>1619</v>
      </c>
      <c r="V12" s="8" t="s">
        <v>1634</v>
      </c>
      <c r="W12" s="8" t="s">
        <v>1637</v>
      </c>
      <c r="X12" s="8" t="s">
        <v>1645</v>
      </c>
    </row>
    <row r="13" spans="2:24">
      <c r="B13" s="17"/>
      <c r="C13" s="36"/>
      <c r="D13" s="36"/>
      <c r="E13" s="36"/>
      <c r="F13" s="36"/>
      <c r="G13" s="36"/>
      <c r="H13" s="36"/>
      <c r="I13" s="36"/>
      <c r="J13" s="32"/>
      <c r="L13" s="13" t="s">
        <v>1579</v>
      </c>
      <c r="M13" s="29" t="s">
        <v>1657</v>
      </c>
      <c r="O13" s="8" t="s">
        <v>1594</v>
      </c>
      <c r="P13" s="8">
        <f ca="1">FIND(", 't",P4,1)</f>
        <v>45</v>
      </c>
      <c r="Q13" s="8" t="s">
        <v>1594</v>
      </c>
      <c r="R13" s="8">
        <f ca="1">FIND(", 't",R4,1)</f>
        <v>47</v>
      </c>
      <c r="S13" s="20">
        <v>9</v>
      </c>
      <c r="T13" s="22" t="s">
        <v>1620</v>
      </c>
      <c r="V13" s="8" t="s">
        <v>1634</v>
      </c>
      <c r="W13" s="8" t="s">
        <v>1637</v>
      </c>
      <c r="X13" s="8" t="s">
        <v>1646</v>
      </c>
    </row>
    <row r="14" spans="2:24">
      <c r="B14" s="17"/>
      <c r="C14" s="17"/>
      <c r="D14" s="17"/>
      <c r="E14" s="17"/>
      <c r="F14" s="17"/>
      <c r="G14" s="17"/>
      <c r="H14" s="17"/>
      <c r="I14" s="17"/>
      <c r="O14" s="8" t="s">
        <v>1595</v>
      </c>
      <c r="P14" s="8">
        <f ca="1">FIND("x': ",P4,P10)+LEN("x': ")</f>
        <v>44</v>
      </c>
      <c r="Q14" s="8" t="s">
        <v>1595</v>
      </c>
      <c r="R14" s="8">
        <f ca="1">FIND("x': ",R4,R10)+LEN("x': ")</f>
        <v>45</v>
      </c>
      <c r="S14" s="20">
        <v>10</v>
      </c>
      <c r="T14" s="22" t="s">
        <v>1621</v>
      </c>
      <c r="V14" s="8" t="s">
        <v>1634</v>
      </c>
      <c r="W14" s="8" t="s">
        <v>1636</v>
      </c>
      <c r="X14" s="8" t="s">
        <v>1647</v>
      </c>
    </row>
    <row r="15" spans="2:24">
      <c r="K15" s="24" t="s">
        <v>1599</v>
      </c>
      <c r="L15" s="29" t="s">
        <v>1656</v>
      </c>
      <c r="O15" s="10" t="s">
        <v>1578</v>
      </c>
      <c r="P15" s="8" t="str">
        <f ca="1">MID(P4,P14,P13-P14)</f>
        <v>2</v>
      </c>
      <c r="Q15" s="10" t="s">
        <v>1578</v>
      </c>
      <c r="R15" s="8" t="str">
        <f ca="1">MID(R4,R14,R13-R14)</f>
        <v>28</v>
      </c>
      <c r="S15" s="21">
        <v>11</v>
      </c>
      <c r="T15" s="22" t="s">
        <v>1622</v>
      </c>
      <c r="V15" s="8" t="s">
        <v>1634</v>
      </c>
      <c r="W15" s="8" t="s">
        <v>1636</v>
      </c>
      <c r="X15" s="8" t="s">
        <v>1648</v>
      </c>
    </row>
    <row r="16" spans="2:24">
      <c r="B16" s="25">
        <v>1</v>
      </c>
      <c r="C16" s="34" t="s">
        <v>1600</v>
      </c>
      <c r="D16" s="34"/>
      <c r="E16" s="25">
        <v>6</v>
      </c>
      <c r="F16" s="34" t="s">
        <v>1605</v>
      </c>
      <c r="G16" s="34"/>
      <c r="H16" s="26">
        <v>11</v>
      </c>
      <c r="I16" s="37" t="s">
        <v>1610</v>
      </c>
      <c r="J16" s="37"/>
      <c r="O16" s="10" t="s">
        <v>1579</v>
      </c>
      <c r="P16" s="8" t="str">
        <f ca="1">LEFT(RIGHT(P4,5),3)</f>
        <v>EQP</v>
      </c>
      <c r="Q16" s="10" t="s">
        <v>1579</v>
      </c>
      <c r="R16" s="8" t="str">
        <f ca="1">LEFT(RIGHT(R4,5),3)</f>
        <v>POH</v>
      </c>
      <c r="S16" s="21">
        <v>12</v>
      </c>
      <c r="T16" s="22" t="s">
        <v>1623</v>
      </c>
      <c r="V16" s="8" t="s">
        <v>1634</v>
      </c>
      <c r="W16" s="8" t="s">
        <v>1636</v>
      </c>
      <c r="X16" s="8" t="s">
        <v>1649</v>
      </c>
    </row>
    <row r="17" spans="2:20">
      <c r="B17" s="25">
        <v>2</v>
      </c>
      <c r="C17" s="34" t="s">
        <v>1601</v>
      </c>
      <c r="D17" s="34"/>
      <c r="E17" s="25">
        <v>7</v>
      </c>
      <c r="F17" s="34" t="s">
        <v>1606</v>
      </c>
      <c r="G17" s="34"/>
      <c r="H17" s="26">
        <v>12</v>
      </c>
      <c r="I17" s="37" t="s">
        <v>1611</v>
      </c>
      <c r="J17" s="37"/>
      <c r="K17" s="23" t="s">
        <v>1624</v>
      </c>
      <c r="L17" s="29" t="s">
        <v>1658</v>
      </c>
    </row>
    <row r="18" spans="2:20">
      <c r="B18" s="25">
        <v>3</v>
      </c>
      <c r="C18" s="34" t="s">
        <v>1602</v>
      </c>
      <c r="D18" s="34"/>
      <c r="E18" s="25">
        <v>8</v>
      </c>
      <c r="F18" s="34" t="s">
        <v>1607</v>
      </c>
      <c r="G18" s="34"/>
      <c r="H18" s="16"/>
      <c r="I18" s="16"/>
      <c r="J18" s="18"/>
      <c r="O18" s="8" t="s">
        <v>1650</v>
      </c>
      <c r="P18" s="8" t="e">
        <f>INDEX(V5:V16,MATCH(L15,S5:S16,0))</f>
        <v>#N/A</v>
      </c>
      <c r="S18" s="11" t="s">
        <v>1584</v>
      </c>
      <c r="T18" s="8" t="str">
        <f>ADDRESS(2+Sheet3!L2,7,4,1)</f>
        <v>G243</v>
      </c>
    </row>
    <row r="19" spans="2:20">
      <c r="B19" s="25">
        <v>4</v>
      </c>
      <c r="C19" s="34" t="s">
        <v>1603</v>
      </c>
      <c r="D19" s="34"/>
      <c r="E19" s="25">
        <v>9</v>
      </c>
      <c r="F19" s="34" t="s">
        <v>1608</v>
      </c>
      <c r="G19" s="34"/>
      <c r="H19" s="16"/>
      <c r="I19" s="27">
        <v>1</v>
      </c>
      <c r="J19" s="19" t="s">
        <v>1625</v>
      </c>
      <c r="K19" s="18"/>
      <c r="O19" s="8" t="s">
        <v>1651</v>
      </c>
      <c r="P19" s="8" t="e">
        <f>INDEX(W5:W16,MATCH(L15,S5:S16,0))</f>
        <v>#N/A</v>
      </c>
      <c r="S19" s="8" t="s">
        <v>1654</v>
      </c>
      <c r="T19" s="9" t="str">
        <f>ADDRESS(2+Sheet3!L2,4,4,1,)</f>
        <v>D243</v>
      </c>
    </row>
    <row r="20" spans="2:20">
      <c r="B20" s="25">
        <v>5</v>
      </c>
      <c r="C20" s="34" t="s">
        <v>1604</v>
      </c>
      <c r="D20" s="34"/>
      <c r="E20" s="25">
        <v>10</v>
      </c>
      <c r="F20" s="34" t="s">
        <v>1609</v>
      </c>
      <c r="G20" s="34"/>
      <c r="H20" s="17"/>
      <c r="I20" s="27">
        <v>2</v>
      </c>
      <c r="J20" s="19" t="s">
        <v>1626</v>
      </c>
      <c r="O20" s="8" t="s">
        <v>1652</v>
      </c>
      <c r="P20" s="8" t="e">
        <f>INDEX(X5:X16,MATCH(L15,S5:S16,0))</f>
        <v>#N/A</v>
      </c>
      <c r="S20" s="8" t="s">
        <v>1655</v>
      </c>
      <c r="T20" s="9" t="str">
        <f>ADDRESS(2+Sheet3!L2,5,4,1)</f>
        <v>E243</v>
      </c>
    </row>
    <row r="21" spans="2:20">
      <c r="I21" s="27">
        <v>3</v>
      </c>
      <c r="J21" s="19" t="s">
        <v>1627</v>
      </c>
    </row>
    <row r="22" spans="2:20">
      <c r="B22" s="10" t="s">
        <v>1580</v>
      </c>
      <c r="C22" s="33" t="str">
        <f>_xlfn.CONCAT("{'",L5,"': '",M5,"', '",L6,"': ",M6,", '",L7,"': ",M7,", '",L8,"': '",M8,"'}")</f>
        <v>{'word': '플뢰레', 'start_idx': 0, 'end_idx': 2, 'type': 'EQP'}</v>
      </c>
      <c r="D22" s="33"/>
      <c r="E22" s="33"/>
      <c r="F22" s="33"/>
      <c r="G22" s="33"/>
      <c r="H22" s="33"/>
      <c r="I22" s="27">
        <v>4</v>
      </c>
      <c r="J22" s="19" t="s">
        <v>1628</v>
      </c>
    </row>
    <row r="23" spans="2:20">
      <c r="B23" s="10" t="s">
        <v>1586</v>
      </c>
      <c r="C23" s="33" t="str">
        <f>_xlfn.CONCAT("{'",L10,"': '",M10,"', '",L11,"': ",M11,", '",L12,"': ",M12,", '",L13,"': '",M13,"'}")</f>
        <v>{'word': '찌르기', 'start_idx': 26, 'end_idx': 28, 'type': 'POH'}</v>
      </c>
      <c r="D23" s="33"/>
      <c r="E23" s="33"/>
      <c r="F23" s="33"/>
      <c r="G23" s="33"/>
      <c r="H23" s="33"/>
      <c r="I23" s="27">
        <v>5</v>
      </c>
      <c r="J23" s="19" t="s">
        <v>1629</v>
      </c>
    </row>
  </sheetData>
  <mergeCells count="18">
    <mergeCell ref="F18:G18"/>
    <mergeCell ref="F19:G19"/>
    <mergeCell ref="B2:I2"/>
    <mergeCell ref="J5:J13"/>
    <mergeCell ref="C22:H22"/>
    <mergeCell ref="C23:H23"/>
    <mergeCell ref="C16:D16"/>
    <mergeCell ref="C17:D17"/>
    <mergeCell ref="B3:I11"/>
    <mergeCell ref="C12:I13"/>
    <mergeCell ref="C20:D20"/>
    <mergeCell ref="F20:G20"/>
    <mergeCell ref="I17:J17"/>
    <mergeCell ref="I16:J16"/>
    <mergeCell ref="C18:D18"/>
    <mergeCell ref="C19:D19"/>
    <mergeCell ref="F16:G16"/>
    <mergeCell ref="F17:G17"/>
  </mergeCells>
  <phoneticPr fontId="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DataBase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Veomchan Kim</dc:creator>
  <cp:lastModifiedBy>Veomchan Kim</cp:lastModifiedBy>
  <dcterms:created xsi:type="dcterms:W3CDTF">2021-11-17T05:50:23Z</dcterms:created>
  <dcterms:modified xsi:type="dcterms:W3CDTF">2021-11-18T08:35:17Z</dcterms:modified>
</cp:coreProperties>
</file>